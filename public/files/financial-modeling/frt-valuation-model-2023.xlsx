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3.xml" ContentType="application/vnd.openxmlformats-officedocument.drawing+xml"/>
  <Override PartName="/xl/charts/chart41.xml" ContentType="application/vnd.openxmlformats-officedocument.drawingml.chart+xml"/>
  <Override PartName="/xl/drawings/drawing4.xml" ContentType="application/vnd.openxmlformats-officedocument.drawing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5.xml" ContentType="application/vnd.openxmlformats-officedocument.drawing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gocnguyen/Desktop/RMIT /EQUITY /Financial statements FRT/"/>
    </mc:Choice>
  </mc:AlternateContent>
  <xr:revisionPtr revIDLastSave="0" documentId="13_ncr:1_{C1612755-2237-064C-9D4D-A61A281AF5AD}" xr6:coauthVersionLast="47" xr6:coauthVersionMax="47" xr10:uidLastSave="{00000000-0000-0000-0000-000000000000}"/>
  <bookViews>
    <workbookView xWindow="0" yWindow="0" windowWidth="28800" windowHeight="18000" firstSheet="2" activeTab="6" xr2:uid="{00000000-000D-0000-FFFF-FFFF00000000}"/>
  </bookViews>
  <sheets>
    <sheet name="FPT Digital Retail JSC | Cash F" sheetId="1" r:id="rId1"/>
    <sheet name="FPT Digital Retail JSC | BS" sheetId="2" r:id="rId2"/>
    <sheet name="FPT Digital Retail JSC | Income" sheetId="4" r:id="rId3"/>
    <sheet name="App" sheetId="19" r:id="rId4"/>
    <sheet name="BS" sheetId="20" r:id="rId5"/>
    <sheet name="Exhibit " sheetId="17" r:id="rId6"/>
    <sheet name="Revenue breakdown" sheetId="8" r:id="rId7"/>
    <sheet name="ROE Dupont" sheetId="10" r:id="rId8"/>
    <sheet name="Key financial ratios" sheetId="5" r:id="rId9"/>
    <sheet name="Model " sheetId="7" r:id="rId10"/>
    <sheet name="Peer Valuation" sheetId="13" r:id="rId11"/>
    <sheet name="CAPM" sheetId="18" r:id="rId12"/>
    <sheet name="Peers " sheetId="14" r:id="rId13"/>
  </sheets>
  <definedNames>
    <definedName name="_xlnm._FilterDatabase" localSheetId="11" hidden="1">CAPM!$A$1:$E$67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3" l="1"/>
  <c r="B19" i="13"/>
  <c r="B21" i="13"/>
  <c r="B16" i="13"/>
  <c r="H6" i="13"/>
  <c r="H5" i="13"/>
  <c r="H4" i="13"/>
  <c r="I98" i="2"/>
  <c r="I99" i="2"/>
  <c r="B6" i="7"/>
  <c r="D87" i="2"/>
  <c r="D51" i="2"/>
  <c r="D98" i="2"/>
  <c r="D99" i="2" s="1"/>
  <c r="J73" i="1"/>
  <c r="J72" i="1"/>
  <c r="J74" i="1"/>
  <c r="I74" i="1"/>
  <c r="J53" i="1"/>
  <c r="J51" i="1" s="1"/>
  <c r="D51" i="1"/>
  <c r="D53" i="1"/>
  <c r="I51" i="1"/>
  <c r="I53" i="1" s="1"/>
  <c r="F75" i="1"/>
  <c r="I75" i="1"/>
  <c r="J75" i="1" s="1"/>
  <c r="B25" i="8"/>
  <c r="B4" i="7"/>
  <c r="D26" i="7"/>
  <c r="D27" i="7" s="1"/>
  <c r="D28" i="7" s="1"/>
  <c r="D25" i="7"/>
  <c r="G31" i="7" l="1"/>
  <c r="G30" i="7"/>
  <c r="G29" i="7"/>
  <c r="C35" i="7"/>
  <c r="A34" i="7"/>
  <c r="E33" i="7"/>
  <c r="D33" i="7"/>
  <c r="B33" i="7"/>
  <c r="AA45" i="17"/>
  <c r="Z45" i="17"/>
  <c r="AA44" i="17"/>
  <c r="Z44" i="17"/>
  <c r="E73" i="20"/>
  <c r="F73" i="20"/>
  <c r="G73" i="20"/>
  <c r="H73" i="20"/>
  <c r="E74" i="20"/>
  <c r="F74" i="20"/>
  <c r="G74" i="20"/>
  <c r="H74" i="20"/>
  <c r="D74" i="20"/>
  <c r="D73" i="20"/>
  <c r="C74" i="20"/>
  <c r="C73" i="20"/>
  <c r="D76" i="20"/>
  <c r="AZ137" i="17"/>
  <c r="BA137" i="17"/>
  <c r="BB137" i="17"/>
  <c r="BC137" i="17"/>
  <c r="AZ138" i="17"/>
  <c r="BA138" i="17"/>
  <c r="BB138" i="17"/>
  <c r="BC138" i="17"/>
  <c r="AZ139" i="17"/>
  <c r="BA139" i="17"/>
  <c r="BB139" i="17"/>
  <c r="BC139" i="17"/>
  <c r="AZ140" i="17"/>
  <c r="BA140" i="17"/>
  <c r="BB140" i="17"/>
  <c r="BC140" i="17"/>
  <c r="AZ141" i="17"/>
  <c r="BA141" i="17"/>
  <c r="BB141" i="17"/>
  <c r="BC141" i="17"/>
  <c r="AY141" i="17"/>
  <c r="AY140" i="17"/>
  <c r="AY139" i="17"/>
  <c r="AY138" i="17"/>
  <c r="AY137" i="17"/>
  <c r="H87" i="20"/>
  <c r="G87" i="20"/>
  <c r="F87" i="20"/>
  <c r="E87" i="20"/>
  <c r="D87" i="20"/>
  <c r="C87" i="20"/>
  <c r="H86" i="20"/>
  <c r="G86" i="20"/>
  <c r="F86" i="20"/>
  <c r="E86" i="20"/>
  <c r="D86" i="20"/>
  <c r="C86" i="20"/>
  <c r="H85" i="20"/>
  <c r="G85" i="20"/>
  <c r="F85" i="20"/>
  <c r="E85" i="20"/>
  <c r="D85" i="20"/>
  <c r="C85" i="20"/>
  <c r="H80" i="20"/>
  <c r="G80" i="20"/>
  <c r="F80" i="20"/>
  <c r="E80" i="20"/>
  <c r="D80" i="20"/>
  <c r="H76" i="20"/>
  <c r="G76" i="20"/>
  <c r="F76" i="20"/>
  <c r="E76" i="20"/>
  <c r="I76" i="20"/>
  <c r="H71" i="20"/>
  <c r="G71" i="20"/>
  <c r="F71" i="20"/>
  <c r="E71" i="20"/>
  <c r="D71" i="20"/>
  <c r="E68" i="20"/>
  <c r="H50" i="20"/>
  <c r="G50" i="20"/>
  <c r="F50" i="20"/>
  <c r="E50" i="20"/>
  <c r="D50" i="20"/>
  <c r="C50" i="20"/>
  <c r="B50" i="20"/>
  <c r="H49" i="20"/>
  <c r="G49" i="20"/>
  <c r="F49" i="20"/>
  <c r="E49" i="20"/>
  <c r="D49" i="20"/>
  <c r="C47" i="20"/>
  <c r="H46" i="20"/>
  <c r="G46" i="20"/>
  <c r="F46" i="20"/>
  <c r="E46" i="20"/>
  <c r="D46" i="20"/>
  <c r="I44" i="20"/>
  <c r="H39" i="20"/>
  <c r="H40" i="20" s="1"/>
  <c r="G39" i="20"/>
  <c r="G40" i="20" s="1"/>
  <c r="F39" i="20"/>
  <c r="F40" i="20" s="1"/>
  <c r="E39" i="20"/>
  <c r="E40" i="20" s="1"/>
  <c r="D39" i="20"/>
  <c r="D40" i="20" s="1"/>
  <c r="H36" i="20"/>
  <c r="H37" i="20" s="1"/>
  <c r="G36" i="20"/>
  <c r="G37" i="20" s="1"/>
  <c r="F36" i="20"/>
  <c r="F37" i="20" s="1"/>
  <c r="E36" i="20"/>
  <c r="E37" i="20" s="1"/>
  <c r="D36" i="20"/>
  <c r="D37" i="20" s="1"/>
  <c r="H35" i="20"/>
  <c r="G35" i="20"/>
  <c r="F35" i="20"/>
  <c r="E35" i="20"/>
  <c r="D35" i="20"/>
  <c r="H34" i="20"/>
  <c r="G34" i="20"/>
  <c r="F34" i="20"/>
  <c r="E34" i="20"/>
  <c r="H30" i="20"/>
  <c r="G30" i="20"/>
  <c r="F30" i="20"/>
  <c r="E30" i="20"/>
  <c r="D30" i="20"/>
  <c r="H29" i="20"/>
  <c r="G29" i="20"/>
  <c r="F29" i="20"/>
  <c r="E29" i="20"/>
  <c r="H26" i="20"/>
  <c r="H27" i="20" s="1"/>
  <c r="G26" i="20"/>
  <c r="G47" i="20" s="1"/>
  <c r="F26" i="20"/>
  <c r="F47" i="20" s="1"/>
  <c r="F96" i="20" s="1"/>
  <c r="E26" i="20"/>
  <c r="E47" i="20" s="1"/>
  <c r="D26" i="20"/>
  <c r="D47" i="20" s="1"/>
  <c r="D96" i="20" s="1"/>
  <c r="M171" i="17"/>
  <c r="J31" i="19"/>
  <c r="K45" i="19"/>
  <c r="L45" i="19"/>
  <c r="M45" i="19"/>
  <c r="N45" i="19"/>
  <c r="O45" i="19"/>
  <c r="J45" i="19"/>
  <c r="E26" i="19"/>
  <c r="F26" i="19"/>
  <c r="G26" i="19"/>
  <c r="H26" i="19"/>
  <c r="I26" i="19"/>
  <c r="J22" i="19"/>
  <c r="K22" i="19"/>
  <c r="L22" i="19"/>
  <c r="M22" i="19"/>
  <c r="N22" i="19"/>
  <c r="O22" i="19"/>
  <c r="I136" i="19"/>
  <c r="H136" i="19"/>
  <c r="G136" i="19"/>
  <c r="F136" i="19"/>
  <c r="E136" i="19"/>
  <c r="I90" i="19"/>
  <c r="H90" i="19"/>
  <c r="G90" i="19"/>
  <c r="F90" i="19"/>
  <c r="E90" i="19"/>
  <c r="I89" i="19"/>
  <c r="H89" i="19"/>
  <c r="G89" i="19"/>
  <c r="F89" i="19"/>
  <c r="E89" i="19"/>
  <c r="I85" i="19"/>
  <c r="I87" i="19" s="1"/>
  <c r="I88" i="19" s="1"/>
  <c r="H85" i="19"/>
  <c r="H87" i="19" s="1"/>
  <c r="H88" i="19" s="1"/>
  <c r="G85" i="19"/>
  <c r="G87" i="19" s="1"/>
  <c r="G88" i="19" s="1"/>
  <c r="F85" i="19"/>
  <c r="F86" i="19" s="1"/>
  <c r="E85" i="19"/>
  <c r="E87" i="19" s="1"/>
  <c r="E88" i="19" s="1"/>
  <c r="J72" i="19"/>
  <c r="I71" i="19"/>
  <c r="H71" i="19"/>
  <c r="G71" i="19"/>
  <c r="F71" i="19"/>
  <c r="E71" i="19"/>
  <c r="I70" i="19"/>
  <c r="H70" i="19"/>
  <c r="G70" i="19"/>
  <c r="F70" i="19"/>
  <c r="E70" i="19"/>
  <c r="I61" i="19"/>
  <c r="H61" i="19"/>
  <c r="G61" i="19"/>
  <c r="F61" i="19"/>
  <c r="E61" i="19"/>
  <c r="I60" i="19"/>
  <c r="H60" i="19"/>
  <c r="G60" i="19"/>
  <c r="F60" i="19"/>
  <c r="E60" i="19"/>
  <c r="I57" i="19"/>
  <c r="H57" i="19"/>
  <c r="G57" i="19"/>
  <c r="F57" i="19"/>
  <c r="E57" i="19"/>
  <c r="I45" i="19"/>
  <c r="H45" i="19"/>
  <c r="G45" i="19"/>
  <c r="F45" i="19"/>
  <c r="E45" i="19"/>
  <c r="I37" i="19"/>
  <c r="H37" i="19"/>
  <c r="G37" i="19"/>
  <c r="F37" i="19"/>
  <c r="E37" i="19"/>
  <c r="I36" i="19"/>
  <c r="H36" i="19"/>
  <c r="G36" i="19"/>
  <c r="F36" i="19"/>
  <c r="E36" i="19"/>
  <c r="I35" i="19"/>
  <c r="H35" i="19"/>
  <c r="G35" i="19"/>
  <c r="F35" i="19"/>
  <c r="E35" i="19"/>
  <c r="I27" i="19"/>
  <c r="I39" i="19" s="1"/>
  <c r="H27" i="19"/>
  <c r="G27" i="19"/>
  <c r="G33" i="19" s="1"/>
  <c r="F27" i="19"/>
  <c r="F31" i="19" s="1"/>
  <c r="F32" i="19" s="1"/>
  <c r="E27" i="19"/>
  <c r="E31" i="19" s="1"/>
  <c r="E32" i="19" s="1"/>
  <c r="I25" i="19"/>
  <c r="H25" i="19"/>
  <c r="G25" i="19"/>
  <c r="F25" i="19"/>
  <c r="E25" i="19"/>
  <c r="O18" i="19"/>
  <c r="O44" i="19" s="1"/>
  <c r="N18" i="19"/>
  <c r="N44" i="19" s="1"/>
  <c r="M18" i="19"/>
  <c r="M44" i="19" s="1"/>
  <c r="L18" i="19"/>
  <c r="L44" i="19" s="1"/>
  <c r="K18" i="19"/>
  <c r="K44" i="19" s="1"/>
  <c r="J18" i="19"/>
  <c r="J44" i="19" s="1"/>
  <c r="G47" i="5"/>
  <c r="H47" i="5"/>
  <c r="I47" i="5"/>
  <c r="F47" i="5"/>
  <c r="K451" i="17"/>
  <c r="B451" i="17"/>
  <c r="C451" i="17"/>
  <c r="D451" i="17"/>
  <c r="E451" i="17"/>
  <c r="F451" i="17"/>
  <c r="G451" i="17"/>
  <c r="H451" i="17"/>
  <c r="I451" i="17"/>
  <c r="J451" i="17"/>
  <c r="A451" i="17"/>
  <c r="F44" i="4"/>
  <c r="G44" i="4"/>
  <c r="H44" i="4"/>
  <c r="I44" i="4"/>
  <c r="E44" i="4"/>
  <c r="AM138" i="17"/>
  <c r="AN138" i="17"/>
  <c r="AO138" i="17"/>
  <c r="AP138" i="17"/>
  <c r="AM139" i="17"/>
  <c r="AN139" i="17"/>
  <c r="AO139" i="17"/>
  <c r="AP139" i="17"/>
  <c r="AM140" i="17"/>
  <c r="AN140" i="17"/>
  <c r="AO140" i="17"/>
  <c r="AP140" i="17"/>
  <c r="AL140" i="17"/>
  <c r="AL139" i="17"/>
  <c r="AL138" i="17"/>
  <c r="F38" i="2"/>
  <c r="G38" i="2"/>
  <c r="H38" i="2"/>
  <c r="E38" i="2"/>
  <c r="F344" i="17"/>
  <c r="G344" i="17"/>
  <c r="H344" i="17"/>
  <c r="E344" i="17"/>
  <c r="F343" i="17"/>
  <c r="G343" i="17"/>
  <c r="H343" i="17"/>
  <c r="E343" i="17"/>
  <c r="F342" i="17"/>
  <c r="G342" i="17"/>
  <c r="H342" i="17"/>
  <c r="E342" i="17"/>
  <c r="C288" i="17"/>
  <c r="C289" i="17"/>
  <c r="C290" i="17"/>
  <c r="C291" i="17"/>
  <c r="C292" i="17"/>
  <c r="C293" i="17"/>
  <c r="C294" i="17"/>
  <c r="C287" i="17"/>
  <c r="G282" i="17"/>
  <c r="F282" i="17"/>
  <c r="E282" i="17"/>
  <c r="C206" i="17"/>
  <c r="D206" i="17" s="1"/>
  <c r="E206" i="17" s="1"/>
  <c r="F206" i="17" s="1"/>
  <c r="G206" i="17" s="1"/>
  <c r="H206" i="17" s="1"/>
  <c r="I206" i="17" s="1"/>
  <c r="E186" i="17"/>
  <c r="D186" i="17"/>
  <c r="B185" i="17"/>
  <c r="C185" i="17" s="1"/>
  <c r="D185" i="17" s="1"/>
  <c r="AF138" i="17"/>
  <c r="AG138" i="17"/>
  <c r="AH138" i="17"/>
  <c r="AI138" i="17"/>
  <c r="AF139" i="17"/>
  <c r="AG139" i="17"/>
  <c r="AH139" i="17"/>
  <c r="AI139" i="17"/>
  <c r="AF140" i="17"/>
  <c r="AG140" i="17"/>
  <c r="AH140" i="17"/>
  <c r="AI140" i="17"/>
  <c r="AE140" i="17"/>
  <c r="AE139" i="17"/>
  <c r="AE138" i="17"/>
  <c r="Y138" i="17"/>
  <c r="Z138" i="17"/>
  <c r="AA138" i="17"/>
  <c r="AB138" i="17"/>
  <c r="Y139" i="17"/>
  <c r="Z139" i="17"/>
  <c r="AA139" i="17"/>
  <c r="AB139" i="17"/>
  <c r="Y140" i="17"/>
  <c r="Z140" i="17"/>
  <c r="AA140" i="17"/>
  <c r="AB140" i="17"/>
  <c r="X140" i="17"/>
  <c r="X139" i="17"/>
  <c r="X138" i="17"/>
  <c r="Q140" i="17"/>
  <c r="R140" i="17"/>
  <c r="S140" i="17"/>
  <c r="T140" i="17"/>
  <c r="P140" i="17"/>
  <c r="Q139" i="17"/>
  <c r="R139" i="17"/>
  <c r="S139" i="17"/>
  <c r="T139" i="17"/>
  <c r="P139" i="17"/>
  <c r="Q138" i="17"/>
  <c r="R138" i="17"/>
  <c r="S138" i="17"/>
  <c r="T138" i="17"/>
  <c r="P138" i="17"/>
  <c r="M140" i="17"/>
  <c r="J140" i="17"/>
  <c r="K140" i="17"/>
  <c r="L140" i="17"/>
  <c r="I140" i="17"/>
  <c r="J139" i="17"/>
  <c r="K139" i="17"/>
  <c r="L139" i="17"/>
  <c r="M139" i="17"/>
  <c r="I139" i="17"/>
  <c r="J138" i="17"/>
  <c r="K138" i="17"/>
  <c r="L138" i="17"/>
  <c r="M138" i="17"/>
  <c r="I138" i="17"/>
  <c r="C69" i="17"/>
  <c r="D69" i="17"/>
  <c r="E69" i="17"/>
  <c r="F69" i="17"/>
  <c r="B69" i="17"/>
  <c r="B68" i="17"/>
  <c r="C68" i="17" s="1"/>
  <c r="D68" i="17" s="1"/>
  <c r="E68" i="17" s="1"/>
  <c r="F68" i="17" s="1"/>
  <c r="E3" i="18"/>
  <c r="D3" i="18"/>
  <c r="E4" i="18"/>
  <c r="D4" i="18"/>
  <c r="E5" i="18"/>
  <c r="D5" i="18"/>
  <c r="E6" i="18"/>
  <c r="D6" i="18"/>
  <c r="E7" i="18"/>
  <c r="D7" i="18"/>
  <c r="E8" i="18"/>
  <c r="D8" i="18"/>
  <c r="E9" i="18"/>
  <c r="D9" i="18"/>
  <c r="E10" i="18"/>
  <c r="D10" i="18"/>
  <c r="E11" i="18"/>
  <c r="D11" i="18"/>
  <c r="E12" i="18"/>
  <c r="D12" i="18"/>
  <c r="E13" i="18"/>
  <c r="D13" i="18"/>
  <c r="E14" i="18"/>
  <c r="D14" i="18"/>
  <c r="E15" i="18"/>
  <c r="D15" i="18"/>
  <c r="E16" i="18"/>
  <c r="D16" i="18"/>
  <c r="E17" i="18"/>
  <c r="D17" i="18"/>
  <c r="E18" i="18"/>
  <c r="D18" i="18"/>
  <c r="E19" i="18"/>
  <c r="D19" i="18"/>
  <c r="E20" i="18"/>
  <c r="D20" i="18"/>
  <c r="E21" i="18"/>
  <c r="D21" i="18"/>
  <c r="E22" i="18"/>
  <c r="D22" i="18"/>
  <c r="E23" i="18"/>
  <c r="D23" i="18"/>
  <c r="E24" i="18"/>
  <c r="D24" i="18"/>
  <c r="E25" i="18"/>
  <c r="D25" i="18"/>
  <c r="E26" i="18"/>
  <c r="D26" i="18"/>
  <c r="E27" i="18"/>
  <c r="D27" i="18"/>
  <c r="E28" i="18"/>
  <c r="D28" i="18"/>
  <c r="E29" i="18"/>
  <c r="D29" i="18"/>
  <c r="H39" i="18"/>
  <c r="E30" i="18"/>
  <c r="D30" i="18"/>
  <c r="H38" i="18"/>
  <c r="H41" i="18" s="1"/>
  <c r="E31" i="18"/>
  <c r="D31" i="18"/>
  <c r="E32" i="18"/>
  <c r="D32" i="18"/>
  <c r="E33" i="18"/>
  <c r="D33" i="18"/>
  <c r="E34" i="18"/>
  <c r="D34" i="18"/>
  <c r="E35" i="18"/>
  <c r="D35" i="18"/>
  <c r="E36" i="18"/>
  <c r="D36" i="18"/>
  <c r="E37" i="18"/>
  <c r="D37" i="18"/>
  <c r="E38" i="18"/>
  <c r="D38" i="18"/>
  <c r="E39" i="18"/>
  <c r="D39" i="18"/>
  <c r="E40" i="18"/>
  <c r="D40" i="18"/>
  <c r="E41" i="18"/>
  <c r="D41" i="18"/>
  <c r="E42" i="18"/>
  <c r="D42" i="18"/>
  <c r="E43" i="18"/>
  <c r="D43" i="18"/>
  <c r="E44" i="18"/>
  <c r="D44" i="18"/>
  <c r="E45" i="18"/>
  <c r="D45" i="18"/>
  <c r="E46" i="18"/>
  <c r="D46" i="18"/>
  <c r="E47" i="18"/>
  <c r="D47" i="18"/>
  <c r="E48" i="18"/>
  <c r="D48" i="18"/>
  <c r="E49" i="18"/>
  <c r="D49" i="18"/>
  <c r="E50" i="18"/>
  <c r="D50" i="18"/>
  <c r="E51" i="18"/>
  <c r="D51" i="18"/>
  <c r="E52" i="18"/>
  <c r="D52" i="18"/>
  <c r="E53" i="18"/>
  <c r="D53" i="18"/>
  <c r="E54" i="18"/>
  <c r="D54" i="18"/>
  <c r="E55" i="18"/>
  <c r="D55" i="18"/>
  <c r="E56" i="18"/>
  <c r="D56" i="18"/>
  <c r="E57" i="18"/>
  <c r="D57" i="18"/>
  <c r="E58" i="18"/>
  <c r="D58" i="18"/>
  <c r="E59" i="18"/>
  <c r="D59" i="18"/>
  <c r="E60" i="18"/>
  <c r="D60" i="18"/>
  <c r="E61" i="18"/>
  <c r="D61" i="18"/>
  <c r="E62" i="18"/>
  <c r="D62" i="18"/>
  <c r="E63" i="18"/>
  <c r="D63" i="18"/>
  <c r="E64" i="18"/>
  <c r="D64" i="18"/>
  <c r="E65" i="18"/>
  <c r="D65" i="18"/>
  <c r="E66" i="18"/>
  <c r="D66" i="18"/>
  <c r="E67" i="18"/>
  <c r="D67" i="18"/>
  <c r="H41" i="20" l="1"/>
  <c r="E27" i="20"/>
  <c r="E96" i="20"/>
  <c r="E97" i="20" s="1"/>
  <c r="F97" i="20"/>
  <c r="I87" i="20"/>
  <c r="I80" i="20"/>
  <c r="I79" i="20" s="1"/>
  <c r="E38" i="20"/>
  <c r="I38" i="20" s="1"/>
  <c r="I37" i="20" s="1"/>
  <c r="M46" i="20"/>
  <c r="F38" i="20"/>
  <c r="E41" i="20"/>
  <c r="F41" i="20"/>
  <c r="G96" i="20"/>
  <c r="G97" i="20" s="1"/>
  <c r="G38" i="20"/>
  <c r="F27" i="20"/>
  <c r="G41" i="20"/>
  <c r="G27" i="20"/>
  <c r="I50" i="20"/>
  <c r="J50" i="20" s="1"/>
  <c r="C96" i="20"/>
  <c r="D97" i="20" s="1"/>
  <c r="H38" i="20"/>
  <c r="J76" i="20"/>
  <c r="J75" i="20" s="1"/>
  <c r="I40" i="20"/>
  <c r="I75" i="20"/>
  <c r="J44" i="20"/>
  <c r="H47" i="20"/>
  <c r="H96" i="20" s="1"/>
  <c r="D27" i="20"/>
  <c r="D29" i="20"/>
  <c r="I29" i="20" s="1"/>
  <c r="J29" i="20" s="1"/>
  <c r="J28" i="20" s="1"/>
  <c r="E38" i="19"/>
  <c r="H86" i="19"/>
  <c r="F38" i="19"/>
  <c r="J136" i="19"/>
  <c r="J135" i="19" s="1"/>
  <c r="I33" i="19"/>
  <c r="G38" i="19"/>
  <c r="E39" i="19"/>
  <c r="J36" i="19"/>
  <c r="K36" i="19" s="1"/>
  <c r="L36" i="19" s="1"/>
  <c r="E86" i="19"/>
  <c r="E29" i="19"/>
  <c r="E30" i="19" s="1"/>
  <c r="E33" i="19"/>
  <c r="G86" i="19"/>
  <c r="F33" i="19"/>
  <c r="J89" i="19"/>
  <c r="K89" i="19" s="1"/>
  <c r="K84" i="19" s="1"/>
  <c r="J61" i="19"/>
  <c r="J58" i="19" s="1"/>
  <c r="J60" i="19" s="1"/>
  <c r="G29" i="19"/>
  <c r="G30" i="19" s="1"/>
  <c r="J71" i="19"/>
  <c r="J69" i="19" s="1"/>
  <c r="J73" i="19" s="1"/>
  <c r="F39" i="19"/>
  <c r="I86" i="19"/>
  <c r="F29" i="19"/>
  <c r="F30" i="19" s="1"/>
  <c r="G31" i="19"/>
  <c r="G32" i="19" s="1"/>
  <c r="H38" i="19"/>
  <c r="H33" i="19"/>
  <c r="H39" i="19"/>
  <c r="H29" i="19"/>
  <c r="H30" i="19" s="1"/>
  <c r="H31" i="19"/>
  <c r="H32" i="19" s="1"/>
  <c r="J35" i="19"/>
  <c r="J25" i="19"/>
  <c r="I31" i="19"/>
  <c r="I32" i="19" s="1"/>
  <c r="I38" i="19"/>
  <c r="K72" i="19"/>
  <c r="L72" i="19" s="1"/>
  <c r="M72" i="19" s="1"/>
  <c r="F87" i="19"/>
  <c r="F88" i="19" s="1"/>
  <c r="G39" i="19"/>
  <c r="I29" i="19"/>
  <c r="I30" i="19" s="1"/>
  <c r="D8" i="17"/>
  <c r="E8" i="17"/>
  <c r="C8" i="17"/>
  <c r="D6" i="17"/>
  <c r="E6" i="17"/>
  <c r="C6" i="17"/>
  <c r="D5" i="17"/>
  <c r="E5" i="17"/>
  <c r="C5" i="17"/>
  <c r="S12" i="7"/>
  <c r="S15" i="7"/>
  <c r="S14" i="7"/>
  <c r="S13" i="7"/>
  <c r="W33" i="13"/>
  <c r="U30" i="13"/>
  <c r="V30" i="13"/>
  <c r="Y30" i="13"/>
  <c r="X30" i="13"/>
  <c r="W30" i="13"/>
  <c r="T35" i="13"/>
  <c r="T34" i="13"/>
  <c r="T31" i="13"/>
  <c r="T32" i="13"/>
  <c r="T33" i="13"/>
  <c r="G13" i="7"/>
  <c r="G9" i="13"/>
  <c r="G8" i="13"/>
  <c r="C13" i="7"/>
  <c r="D13" i="7"/>
  <c r="E13" i="7"/>
  <c r="F13" i="7"/>
  <c r="C89" i="2"/>
  <c r="D89" i="2"/>
  <c r="E89" i="2"/>
  <c r="F89" i="2"/>
  <c r="G89" i="2"/>
  <c r="H89" i="2"/>
  <c r="D30" i="2"/>
  <c r="C5" i="10"/>
  <c r="I70" i="20" l="1"/>
  <c r="I71" i="20" s="1"/>
  <c r="I74" i="20"/>
  <c r="J87" i="20"/>
  <c r="J80" i="20"/>
  <c r="J79" i="20" s="1"/>
  <c r="I41" i="20"/>
  <c r="J41" i="20" s="1"/>
  <c r="J40" i="20" s="1"/>
  <c r="I23" i="20"/>
  <c r="I49" i="20" s="1"/>
  <c r="J38" i="20"/>
  <c r="J37" i="20" s="1"/>
  <c r="I27" i="20"/>
  <c r="I26" i="20" s="1"/>
  <c r="H97" i="20"/>
  <c r="J23" i="20"/>
  <c r="K50" i="20"/>
  <c r="K23" i="20" s="1"/>
  <c r="K44" i="20"/>
  <c r="L44" i="20" s="1"/>
  <c r="M44" i="20" s="1"/>
  <c r="I28" i="20"/>
  <c r="I36" i="20"/>
  <c r="K29" i="20"/>
  <c r="K28" i="20" s="1"/>
  <c r="K76" i="20"/>
  <c r="K75" i="20" s="1"/>
  <c r="K87" i="20"/>
  <c r="I39" i="20"/>
  <c r="J84" i="19"/>
  <c r="J90" i="19" s="1"/>
  <c r="K90" i="19"/>
  <c r="K136" i="19"/>
  <c r="K135" i="19" s="1"/>
  <c r="J30" i="19"/>
  <c r="K61" i="19"/>
  <c r="K58" i="19" s="1"/>
  <c r="K60" i="19" s="1"/>
  <c r="K71" i="19"/>
  <c r="K69" i="19" s="1"/>
  <c r="K73" i="19" s="1"/>
  <c r="L61" i="19"/>
  <c r="L58" i="19" s="1"/>
  <c r="L60" i="19" s="1"/>
  <c r="K30" i="19"/>
  <c r="K29" i="19" s="1"/>
  <c r="J86" i="19"/>
  <c r="J85" i="19" s="1"/>
  <c r="N72" i="19"/>
  <c r="O72" i="19" s="1"/>
  <c r="J37" i="19"/>
  <c r="J32" i="19"/>
  <c r="J24" i="19"/>
  <c r="K25" i="19"/>
  <c r="M61" i="19"/>
  <c r="M58" i="19" s="1"/>
  <c r="M60" i="19" s="1"/>
  <c r="J29" i="19"/>
  <c r="K35" i="19"/>
  <c r="K37" i="19" s="1"/>
  <c r="J88" i="19"/>
  <c r="L89" i="19"/>
  <c r="M36" i="19"/>
  <c r="N36" i="19" s="1"/>
  <c r="L71" i="19"/>
  <c r="H13" i="7"/>
  <c r="J77" i="4"/>
  <c r="I85" i="20" l="1"/>
  <c r="K70" i="20"/>
  <c r="K74" i="20"/>
  <c r="I86" i="20"/>
  <c r="I73" i="20" s="1"/>
  <c r="J70" i="20"/>
  <c r="K86" i="20" s="1"/>
  <c r="K73" i="20" s="1"/>
  <c r="J74" i="20"/>
  <c r="K38" i="20"/>
  <c r="L38" i="20" s="1"/>
  <c r="M38" i="20" s="1"/>
  <c r="N38" i="20" s="1"/>
  <c r="J49" i="20"/>
  <c r="K80" i="20"/>
  <c r="K79" i="20" s="1"/>
  <c r="K49" i="20"/>
  <c r="J27" i="20"/>
  <c r="K27" i="20" s="1"/>
  <c r="K26" i="20" s="1"/>
  <c r="L76" i="20"/>
  <c r="L75" i="20" s="1"/>
  <c r="L50" i="20"/>
  <c r="L29" i="20"/>
  <c r="I33" i="20"/>
  <c r="I35" i="20" s="1"/>
  <c r="J39" i="20"/>
  <c r="L87" i="20"/>
  <c r="L74" i="20" s="1"/>
  <c r="N44" i="20"/>
  <c r="K85" i="20"/>
  <c r="L80" i="20"/>
  <c r="M80" i="20" s="1"/>
  <c r="M79" i="20" s="1"/>
  <c r="J36" i="20"/>
  <c r="K37" i="20"/>
  <c r="K41" i="20"/>
  <c r="L136" i="19"/>
  <c r="K86" i="19"/>
  <c r="L30" i="19"/>
  <c r="K85" i="19"/>
  <c r="L35" i="19"/>
  <c r="L37" i="19" s="1"/>
  <c r="L38" i="19" s="1"/>
  <c r="L86" i="19"/>
  <c r="M86" i="19" s="1"/>
  <c r="N86" i="19" s="1"/>
  <c r="O86" i="19" s="1"/>
  <c r="J87" i="19"/>
  <c r="L135" i="19"/>
  <c r="M136" i="19"/>
  <c r="M135" i="19" s="1"/>
  <c r="J27" i="19"/>
  <c r="J33" i="19" s="1"/>
  <c r="N61" i="19"/>
  <c r="N58" i="19" s="1"/>
  <c r="N60" i="19" s="1"/>
  <c r="J34" i="19"/>
  <c r="J39" i="19" s="1"/>
  <c r="J38" i="19"/>
  <c r="K38" i="19"/>
  <c r="K34" i="19"/>
  <c r="O36" i="19"/>
  <c r="K24" i="19"/>
  <c r="K27" i="19" s="1"/>
  <c r="K33" i="19" s="1"/>
  <c r="L25" i="19"/>
  <c r="K32" i="19"/>
  <c r="L84" i="19"/>
  <c r="L90" i="19" s="1"/>
  <c r="M89" i="19"/>
  <c r="M84" i="19" s="1"/>
  <c r="M90" i="19" s="1"/>
  <c r="L69" i="19"/>
  <c r="L73" i="19" s="1"/>
  <c r="M71" i="19"/>
  <c r="K88" i="19"/>
  <c r="K77" i="4"/>
  <c r="F41" i="5"/>
  <c r="G41" i="5"/>
  <c r="C9" i="17" s="1"/>
  <c r="H41" i="5"/>
  <c r="D9" i="17" s="1"/>
  <c r="I41" i="5"/>
  <c r="E9" i="17" s="1"/>
  <c r="E41" i="5"/>
  <c r="W40" i="14"/>
  <c r="X40" i="14"/>
  <c r="Y40" i="14"/>
  <c r="Z40" i="14"/>
  <c r="V40" i="14"/>
  <c r="Z39" i="14"/>
  <c r="W39" i="14"/>
  <c r="X39" i="14"/>
  <c r="Y39" i="14"/>
  <c r="V39" i="14"/>
  <c r="W38" i="14"/>
  <c r="X38" i="14"/>
  <c r="Y38" i="14"/>
  <c r="Z38" i="14"/>
  <c r="V38" i="14"/>
  <c r="W36" i="14"/>
  <c r="X36" i="14"/>
  <c r="Y36" i="14"/>
  <c r="Z36" i="14"/>
  <c r="V36" i="14"/>
  <c r="G30" i="2"/>
  <c r="C19" i="7"/>
  <c r="E31" i="4"/>
  <c r="G31" i="4"/>
  <c r="H31" i="4"/>
  <c r="I31" i="4"/>
  <c r="F31" i="4"/>
  <c r="F50" i="2"/>
  <c r="G50" i="2"/>
  <c r="H50" i="2"/>
  <c r="D50" i="2"/>
  <c r="E50" i="2"/>
  <c r="E64" i="14"/>
  <c r="F64" i="14"/>
  <c r="G64" i="14"/>
  <c r="H64" i="14"/>
  <c r="D64" i="14"/>
  <c r="E62" i="4"/>
  <c r="G62" i="4"/>
  <c r="H62" i="4"/>
  <c r="I62" i="4"/>
  <c r="F62" i="4"/>
  <c r="X27" i="14"/>
  <c r="Y27" i="14"/>
  <c r="Z27" i="14"/>
  <c r="AA27" i="14"/>
  <c r="W27" i="14"/>
  <c r="X30" i="14"/>
  <c r="Y30" i="14"/>
  <c r="Z30" i="14"/>
  <c r="AA30" i="14"/>
  <c r="W30" i="14"/>
  <c r="X29" i="14"/>
  <c r="Y29" i="14"/>
  <c r="Z29" i="14"/>
  <c r="AA29" i="14"/>
  <c r="W29" i="14"/>
  <c r="X31" i="14"/>
  <c r="Y31" i="14"/>
  <c r="Z31" i="14"/>
  <c r="AA31" i="14"/>
  <c r="W31" i="14"/>
  <c r="AG13" i="14"/>
  <c r="AF13" i="14"/>
  <c r="AE13" i="14"/>
  <c r="AD13" i="14"/>
  <c r="AC13" i="14"/>
  <c r="AD17" i="14"/>
  <c r="AD11" i="14" s="1"/>
  <c r="AE17" i="14"/>
  <c r="AE11" i="14" s="1"/>
  <c r="AF17" i="14"/>
  <c r="AF11" i="14" s="1"/>
  <c r="AG17" i="14"/>
  <c r="AG11" i="14" s="1"/>
  <c r="AC17" i="14"/>
  <c r="AC11" i="14" s="1"/>
  <c r="AG19" i="14"/>
  <c r="AF19" i="14"/>
  <c r="AE19" i="14"/>
  <c r="AD19" i="14"/>
  <c r="AC19" i="14"/>
  <c r="AD24" i="14"/>
  <c r="AE24" i="14"/>
  <c r="AF24" i="14"/>
  <c r="AG24" i="14"/>
  <c r="AC24" i="14"/>
  <c r="AD22" i="14"/>
  <c r="AE22" i="14"/>
  <c r="AF22" i="14"/>
  <c r="AG22" i="14"/>
  <c r="AC22" i="14"/>
  <c r="P34" i="14"/>
  <c r="Q37" i="14"/>
  <c r="AM141" i="17" s="1"/>
  <c r="R37" i="14"/>
  <c r="AN141" i="17" s="1"/>
  <c r="T37" i="14"/>
  <c r="AP141" i="17" s="1"/>
  <c r="Q31" i="14"/>
  <c r="AM137" i="17" s="1"/>
  <c r="R31" i="14"/>
  <c r="AN137" i="17" s="1"/>
  <c r="S31" i="14"/>
  <c r="AO137" i="17" s="1"/>
  <c r="T31" i="14"/>
  <c r="AP137" i="17" s="1"/>
  <c r="P31" i="14"/>
  <c r="AL137" i="17" s="1"/>
  <c r="J62" i="14"/>
  <c r="K62" i="14"/>
  <c r="L62" i="14"/>
  <c r="M62" i="14"/>
  <c r="I62" i="14"/>
  <c r="J38" i="14"/>
  <c r="J39" i="14" s="1"/>
  <c r="K38" i="14"/>
  <c r="K39" i="14" s="1"/>
  <c r="L38" i="14"/>
  <c r="L39" i="14" s="1"/>
  <c r="M38" i="14"/>
  <c r="M39" i="14" s="1"/>
  <c r="I38" i="14"/>
  <c r="I39" i="14" s="1"/>
  <c r="I27" i="14"/>
  <c r="I32" i="14" s="1"/>
  <c r="J27" i="14"/>
  <c r="J32" i="14" s="1"/>
  <c r="K27" i="14"/>
  <c r="K32" i="14" s="1"/>
  <c r="L27" i="14"/>
  <c r="L32" i="14" s="1"/>
  <c r="M27" i="14"/>
  <c r="F57" i="5"/>
  <c r="G57" i="5"/>
  <c r="H57" i="5"/>
  <c r="I57" i="5"/>
  <c r="E57" i="5"/>
  <c r="M32" i="14"/>
  <c r="J71" i="20" l="1"/>
  <c r="J86" i="20"/>
  <c r="J73" i="20" s="1"/>
  <c r="J85" i="20"/>
  <c r="K71" i="20"/>
  <c r="J26" i="20"/>
  <c r="L27" i="20"/>
  <c r="L26" i="20" s="1"/>
  <c r="I47" i="20"/>
  <c r="I96" i="20" s="1"/>
  <c r="I97" i="20" s="1"/>
  <c r="M76" i="20"/>
  <c r="L23" i="20"/>
  <c r="L49" i="20" s="1"/>
  <c r="M50" i="20"/>
  <c r="L28" i="20"/>
  <c r="M29" i="20"/>
  <c r="J33" i="20"/>
  <c r="J35" i="20" s="1"/>
  <c r="L37" i="20"/>
  <c r="K36" i="20"/>
  <c r="L70" i="20"/>
  <c r="M87" i="20"/>
  <c r="M74" i="20" s="1"/>
  <c r="K40" i="20"/>
  <c r="L79" i="20"/>
  <c r="N80" i="20"/>
  <c r="N79" i="20" s="1"/>
  <c r="L41" i="20"/>
  <c r="M41" i="20" s="1"/>
  <c r="O61" i="19"/>
  <c r="O58" i="19" s="1"/>
  <c r="O60" i="19" s="1"/>
  <c r="L29" i="19"/>
  <c r="M30" i="19"/>
  <c r="L34" i="19"/>
  <c r="L85" i="19"/>
  <c r="M85" i="19" s="1"/>
  <c r="N85" i="19" s="1"/>
  <c r="O85" i="19" s="1"/>
  <c r="M35" i="19"/>
  <c r="M37" i="19" s="1"/>
  <c r="M34" i="19" s="1"/>
  <c r="M69" i="19"/>
  <c r="M73" i="19" s="1"/>
  <c r="N89" i="19"/>
  <c r="N84" i="19" s="1"/>
  <c r="N90" i="19" s="1"/>
  <c r="K39" i="19"/>
  <c r="L88" i="19"/>
  <c r="K31" i="19"/>
  <c r="L32" i="19"/>
  <c r="M32" i="19" s="1"/>
  <c r="M31" i="19" s="1"/>
  <c r="N71" i="19"/>
  <c r="N69" i="19" s="1"/>
  <c r="N73" i="19" s="1"/>
  <c r="L24" i="19"/>
  <c r="L27" i="19" s="1"/>
  <c r="L33" i="19" s="1"/>
  <c r="K87" i="19"/>
  <c r="M25" i="19"/>
  <c r="M24" i="19" s="1"/>
  <c r="M27" i="19" s="1"/>
  <c r="M33" i="19" s="1"/>
  <c r="N136" i="19"/>
  <c r="P37" i="14"/>
  <c r="AL141" i="17" s="1"/>
  <c r="S37" i="14"/>
  <c r="AO141" i="17" s="1"/>
  <c r="L77" i="4"/>
  <c r="M77" i="4" s="1"/>
  <c r="K41" i="5"/>
  <c r="G75" i="1"/>
  <c r="H75" i="1"/>
  <c r="D75" i="1"/>
  <c r="E75" i="1"/>
  <c r="G94" i="1"/>
  <c r="H94" i="1"/>
  <c r="I94" i="1"/>
  <c r="D94" i="1"/>
  <c r="E94" i="1"/>
  <c r="F94" i="1"/>
  <c r="B18" i="13"/>
  <c r="M27" i="20" l="1"/>
  <c r="M26" i="20" s="1"/>
  <c r="J47" i="20"/>
  <c r="J96" i="20" s="1"/>
  <c r="J97" i="20" s="1"/>
  <c r="M75" i="20"/>
  <c r="N76" i="20"/>
  <c r="N75" i="20" s="1"/>
  <c r="M23" i="20"/>
  <c r="M49" i="20" s="1"/>
  <c r="N50" i="20"/>
  <c r="N23" i="20" s="1"/>
  <c r="N49" i="20" s="1"/>
  <c r="M28" i="20"/>
  <c r="N29" i="20"/>
  <c r="N28" i="20" s="1"/>
  <c r="M37" i="20"/>
  <c r="L36" i="20"/>
  <c r="L40" i="20"/>
  <c r="K39" i="20"/>
  <c r="K33" i="20" s="1"/>
  <c r="N41" i="20"/>
  <c r="M70" i="20"/>
  <c r="N87" i="20"/>
  <c r="L85" i="20"/>
  <c r="L86" i="20"/>
  <c r="L73" i="20" s="1"/>
  <c r="L71" i="20"/>
  <c r="L87" i="19"/>
  <c r="N35" i="19"/>
  <c r="M29" i="19"/>
  <c r="N30" i="19"/>
  <c r="N29" i="19" s="1"/>
  <c r="O71" i="19"/>
  <c r="O69" i="19" s="1"/>
  <c r="O73" i="19" s="1"/>
  <c r="L31" i="19"/>
  <c r="N25" i="19"/>
  <c r="N24" i="19" s="1"/>
  <c r="N27" i="19" s="1"/>
  <c r="N33" i="19" s="1"/>
  <c r="L39" i="19"/>
  <c r="N32" i="19"/>
  <c r="N31" i="19" s="1"/>
  <c r="O89" i="19"/>
  <c r="O84" i="19" s="1"/>
  <c r="O90" i="19" s="1"/>
  <c r="M39" i="19"/>
  <c r="N37" i="19"/>
  <c r="O35" i="19"/>
  <c r="O37" i="19" s="1"/>
  <c r="N135" i="19"/>
  <c r="O136" i="19"/>
  <c r="O135" i="19" s="1"/>
  <c r="M38" i="19"/>
  <c r="M88" i="19"/>
  <c r="N88" i="19" s="1"/>
  <c r="O88" i="19" s="1"/>
  <c r="N77" i="4"/>
  <c r="O77" i="4" s="1"/>
  <c r="J94" i="1"/>
  <c r="K94" i="1" s="1"/>
  <c r="L94" i="1" s="1"/>
  <c r="S28" i="14"/>
  <c r="W24" i="14"/>
  <c r="Q28" i="14" s="1"/>
  <c r="X24" i="14"/>
  <c r="R28" i="14" s="1"/>
  <c r="Y24" i="14"/>
  <c r="Z24" i="14"/>
  <c r="T28" i="14" s="1"/>
  <c r="V24" i="14"/>
  <c r="P28" i="14" s="1"/>
  <c r="W19" i="14"/>
  <c r="Q22" i="14" s="1"/>
  <c r="X19" i="14"/>
  <c r="R22" i="14" s="1"/>
  <c r="Y19" i="14"/>
  <c r="S22" i="14" s="1"/>
  <c r="Z19" i="14"/>
  <c r="T22" i="14" s="1"/>
  <c r="V19" i="14"/>
  <c r="P22" i="14" s="1"/>
  <c r="W13" i="14"/>
  <c r="Q16" i="14" s="1"/>
  <c r="X13" i="14"/>
  <c r="R16" i="14" s="1"/>
  <c r="Y13" i="14"/>
  <c r="S16" i="14" s="1"/>
  <c r="Z13" i="14"/>
  <c r="T16" i="14" s="1"/>
  <c r="V13" i="14"/>
  <c r="P16" i="14" s="1"/>
  <c r="C29" i="10"/>
  <c r="D29" i="10"/>
  <c r="E29" i="10"/>
  <c r="F29" i="10"/>
  <c r="B29" i="10"/>
  <c r="C27" i="10"/>
  <c r="D27" i="10"/>
  <c r="E27" i="10"/>
  <c r="F27" i="10"/>
  <c r="B27" i="10"/>
  <c r="C22" i="10"/>
  <c r="D22" i="10"/>
  <c r="E22" i="10"/>
  <c r="F22" i="10"/>
  <c r="B22" i="10"/>
  <c r="C20" i="10"/>
  <c r="D20" i="10"/>
  <c r="E20" i="10"/>
  <c r="F20" i="10"/>
  <c r="B20" i="10"/>
  <c r="C15" i="10"/>
  <c r="D15" i="10"/>
  <c r="E15" i="10"/>
  <c r="F15" i="10"/>
  <c r="B15" i="10"/>
  <c r="F13" i="10"/>
  <c r="C13" i="10"/>
  <c r="D13" i="10"/>
  <c r="E13" i="10"/>
  <c r="B13" i="10"/>
  <c r="Q34" i="14"/>
  <c r="Q40" i="14" s="1"/>
  <c r="R34" i="14"/>
  <c r="R40" i="14" s="1"/>
  <c r="S34" i="14"/>
  <c r="S40" i="14" s="1"/>
  <c r="T34" i="14"/>
  <c r="T40" i="14" s="1"/>
  <c r="Q30" i="14"/>
  <c r="R30" i="14"/>
  <c r="S30" i="14"/>
  <c r="T30" i="14"/>
  <c r="P30" i="14"/>
  <c r="Q33" i="14"/>
  <c r="Q39" i="14" s="1"/>
  <c r="R33" i="14"/>
  <c r="R39" i="14" s="1"/>
  <c r="S33" i="14"/>
  <c r="S39" i="14" s="1"/>
  <c r="T33" i="14"/>
  <c r="T39" i="14" s="1"/>
  <c r="P33" i="14"/>
  <c r="P39" i="14" s="1"/>
  <c r="B44" i="14"/>
  <c r="J23" i="14" s="1"/>
  <c r="C44" i="14"/>
  <c r="K23" i="14" s="1"/>
  <c r="D44" i="14"/>
  <c r="L23" i="14" s="1"/>
  <c r="E44" i="14"/>
  <c r="M23" i="14" s="1"/>
  <c r="A44" i="14"/>
  <c r="I23" i="14" s="1"/>
  <c r="B40" i="14"/>
  <c r="J13" i="14" s="1"/>
  <c r="C40" i="14"/>
  <c r="K13" i="14" s="1"/>
  <c r="D40" i="14"/>
  <c r="L13" i="14" s="1"/>
  <c r="E40" i="14"/>
  <c r="M13" i="14" s="1"/>
  <c r="A40" i="14"/>
  <c r="I13" i="14" s="1"/>
  <c r="B35" i="14"/>
  <c r="J18" i="14" s="1"/>
  <c r="C35" i="14"/>
  <c r="K18" i="14" s="1"/>
  <c r="D35" i="14"/>
  <c r="L18" i="14" s="1"/>
  <c r="E35" i="14"/>
  <c r="M18" i="14" s="1"/>
  <c r="A35" i="14"/>
  <c r="I18" i="14" s="1"/>
  <c r="J28" i="14"/>
  <c r="K28" i="14"/>
  <c r="L28" i="14"/>
  <c r="M28" i="14"/>
  <c r="I28" i="14"/>
  <c r="J30" i="14"/>
  <c r="K30" i="14"/>
  <c r="L30" i="14"/>
  <c r="M30" i="14"/>
  <c r="I30" i="14"/>
  <c r="M29" i="14"/>
  <c r="AI137" i="17" s="1"/>
  <c r="J29" i="14"/>
  <c r="AF137" i="17" s="1"/>
  <c r="K29" i="14"/>
  <c r="AG137" i="17" s="1"/>
  <c r="L29" i="14"/>
  <c r="AH137" i="17" s="1"/>
  <c r="I29" i="14"/>
  <c r="AE137" i="17" s="1"/>
  <c r="C26" i="14"/>
  <c r="D26" i="14"/>
  <c r="E26" i="14"/>
  <c r="F26" i="14"/>
  <c r="B26" i="14"/>
  <c r="G95" i="4"/>
  <c r="H95" i="4"/>
  <c r="I95" i="4"/>
  <c r="F95" i="4"/>
  <c r="E95" i="4"/>
  <c r="G75" i="4"/>
  <c r="H75" i="4"/>
  <c r="I75" i="4"/>
  <c r="E75" i="4"/>
  <c r="F75" i="4"/>
  <c r="F17" i="8"/>
  <c r="F42" i="4"/>
  <c r="G42" i="4"/>
  <c r="H42" i="4"/>
  <c r="I42" i="4"/>
  <c r="E42" i="4"/>
  <c r="F18" i="8"/>
  <c r="G18" i="8" s="1"/>
  <c r="G32" i="4"/>
  <c r="G38" i="4" s="1"/>
  <c r="H32" i="4"/>
  <c r="H38" i="4" s="1"/>
  <c r="I32" i="4"/>
  <c r="I38" i="4" s="1"/>
  <c r="F32" i="4"/>
  <c r="F38" i="4" s="1"/>
  <c r="E32" i="4"/>
  <c r="E38" i="4" s="1"/>
  <c r="F30" i="4"/>
  <c r="G30" i="4"/>
  <c r="H30" i="4"/>
  <c r="I30" i="4"/>
  <c r="E30" i="4"/>
  <c r="E14" i="8"/>
  <c r="G65" i="4"/>
  <c r="H65" i="4"/>
  <c r="I65" i="4"/>
  <c r="E65" i="4"/>
  <c r="F65" i="4"/>
  <c r="N70" i="20" l="1"/>
  <c r="N86" i="20" s="1"/>
  <c r="N73" i="20" s="1"/>
  <c r="N74" i="20"/>
  <c r="N27" i="20"/>
  <c r="N26" i="20" s="1"/>
  <c r="K35" i="20"/>
  <c r="K47" i="20"/>
  <c r="K96" i="20" s="1"/>
  <c r="K97" i="20" s="1"/>
  <c r="M85" i="20"/>
  <c r="M86" i="20"/>
  <c r="M73" i="20" s="1"/>
  <c r="M71" i="20"/>
  <c r="M40" i="20"/>
  <c r="L39" i="20"/>
  <c r="L33" i="20" s="1"/>
  <c r="N37" i="20"/>
  <c r="N36" i="20" s="1"/>
  <c r="M36" i="20"/>
  <c r="O30" i="19"/>
  <c r="O29" i="19" s="1"/>
  <c r="M87" i="19"/>
  <c r="N87" i="19" s="1"/>
  <c r="O87" i="19" s="1"/>
  <c r="O34" i="19"/>
  <c r="N38" i="19"/>
  <c r="N34" i="19"/>
  <c r="N39" i="19" s="1"/>
  <c r="O32" i="19"/>
  <c r="O31" i="19" s="1"/>
  <c r="O25" i="19"/>
  <c r="O24" i="19" s="1"/>
  <c r="O27" i="19" s="1"/>
  <c r="O33" i="19" s="1"/>
  <c r="C30" i="14"/>
  <c r="Q141" i="17" s="1"/>
  <c r="Q137" i="17"/>
  <c r="E30" i="14"/>
  <c r="S141" i="17" s="1"/>
  <c r="S137" i="17"/>
  <c r="I35" i="14"/>
  <c r="X141" i="17" s="1"/>
  <c r="X137" i="17"/>
  <c r="I36" i="14"/>
  <c r="AB137" i="17"/>
  <c r="M35" i="14"/>
  <c r="B30" i="14"/>
  <c r="P141" i="17" s="1"/>
  <c r="P137" i="17"/>
  <c r="D30" i="14"/>
  <c r="R141" i="17" s="1"/>
  <c r="R137" i="17"/>
  <c r="L35" i="14"/>
  <c r="AA141" i="17" s="1"/>
  <c r="AA137" i="17"/>
  <c r="K35" i="14"/>
  <c r="Z141" i="17" s="1"/>
  <c r="Z137" i="17"/>
  <c r="K36" i="14"/>
  <c r="J35" i="14"/>
  <c r="Y141" i="17" s="1"/>
  <c r="Y137" i="17"/>
  <c r="J36" i="14"/>
  <c r="F30" i="14"/>
  <c r="T141" i="17" s="1"/>
  <c r="T137" i="17"/>
  <c r="J30" i="4"/>
  <c r="K30" i="4"/>
  <c r="L30" i="4" s="1"/>
  <c r="M30" i="4" s="1"/>
  <c r="P36" i="14"/>
  <c r="V41" i="14" s="1"/>
  <c r="V37" i="14"/>
  <c r="S36" i="14"/>
  <c r="Y41" i="14" s="1"/>
  <c r="Y37" i="14"/>
  <c r="R36" i="14"/>
  <c r="X41" i="14" s="1"/>
  <c r="X37" i="14"/>
  <c r="Q36" i="14"/>
  <c r="W41" i="14" s="1"/>
  <c r="W37" i="14"/>
  <c r="T36" i="14"/>
  <c r="Z41" i="14" s="1"/>
  <c r="Z37" i="14"/>
  <c r="K75" i="1"/>
  <c r="L75" i="1" s="1"/>
  <c r="M75" i="1" s="1"/>
  <c r="N75" i="1" s="1"/>
  <c r="P40" i="14"/>
  <c r="F16" i="10"/>
  <c r="E30" i="10"/>
  <c r="D30" i="10"/>
  <c r="D16" i="10"/>
  <c r="C16" i="10"/>
  <c r="B30" i="10"/>
  <c r="B16" i="10"/>
  <c r="D23" i="10"/>
  <c r="K33" i="14"/>
  <c r="J37" i="14"/>
  <c r="J34" i="14"/>
  <c r="AF141" i="17" s="1"/>
  <c r="M33" i="14"/>
  <c r="E16" i="10"/>
  <c r="L33" i="14"/>
  <c r="J33" i="14"/>
  <c r="F23" i="10"/>
  <c r="C23" i="10"/>
  <c r="M34" i="14"/>
  <c r="AI141" i="17" s="1"/>
  <c r="M37" i="14"/>
  <c r="E23" i="10"/>
  <c r="B23" i="10"/>
  <c r="I37" i="14"/>
  <c r="I34" i="14"/>
  <c r="AE141" i="17" s="1"/>
  <c r="L34" i="14"/>
  <c r="AH141" i="17" s="1"/>
  <c r="L37" i="14"/>
  <c r="K37" i="14"/>
  <c r="K34" i="14"/>
  <c r="AG141" i="17" s="1"/>
  <c r="I33" i="14"/>
  <c r="F30" i="10"/>
  <c r="C30" i="10"/>
  <c r="G43" i="4"/>
  <c r="M94" i="1"/>
  <c r="F43" i="4"/>
  <c r="E43" i="4"/>
  <c r="I43" i="4"/>
  <c r="H43" i="4"/>
  <c r="I4" i="13"/>
  <c r="I8" i="13" s="1"/>
  <c r="H7" i="13"/>
  <c r="J71" i="1"/>
  <c r="I48" i="2"/>
  <c r="J48" i="2" s="1"/>
  <c r="K48" i="2" s="1"/>
  <c r="E30" i="2"/>
  <c r="F30" i="2"/>
  <c r="F51" i="2" s="1"/>
  <c r="H30" i="2"/>
  <c r="H51" i="2" s="1"/>
  <c r="G39" i="1"/>
  <c r="G35" i="1" s="1"/>
  <c r="H39" i="1"/>
  <c r="H35" i="1" s="1"/>
  <c r="F39" i="1"/>
  <c r="F35" i="1" s="1"/>
  <c r="E39" i="1"/>
  <c r="E35" i="1" s="1"/>
  <c r="D39" i="1"/>
  <c r="D35" i="1" s="1"/>
  <c r="A14" i="7"/>
  <c r="G34" i="1"/>
  <c r="H34" i="1"/>
  <c r="I34" i="1"/>
  <c r="F34" i="1"/>
  <c r="E34" i="1"/>
  <c r="D34" i="1"/>
  <c r="D43" i="1"/>
  <c r="D37" i="1"/>
  <c r="E72" i="2"/>
  <c r="E3" i="2"/>
  <c r="G37" i="1"/>
  <c r="H37" i="1"/>
  <c r="I37" i="1"/>
  <c r="F37" i="1"/>
  <c r="E37" i="1"/>
  <c r="D38" i="1"/>
  <c r="E38" i="1"/>
  <c r="F38" i="1"/>
  <c r="G38" i="1"/>
  <c r="H38" i="1"/>
  <c r="I38" i="1"/>
  <c r="O75" i="1" l="1"/>
  <c r="N71" i="20"/>
  <c r="N85" i="20"/>
  <c r="L35" i="20"/>
  <c r="L47" i="20"/>
  <c r="L96" i="20" s="1"/>
  <c r="L97" i="20" s="1"/>
  <c r="M39" i="20"/>
  <c r="N40" i="20"/>
  <c r="N39" i="20" s="1"/>
  <c r="M33" i="20"/>
  <c r="N33" i="20"/>
  <c r="O38" i="19"/>
  <c r="O39" i="19"/>
  <c r="L36" i="14"/>
  <c r="M36" i="14"/>
  <c r="AB141" i="17"/>
  <c r="H9" i="13"/>
  <c r="H8" i="13"/>
  <c r="N30" i="4"/>
  <c r="O30" i="4" s="1"/>
  <c r="N94" i="1"/>
  <c r="O94" i="1"/>
  <c r="I9" i="13"/>
  <c r="G51" i="2"/>
  <c r="E51" i="2"/>
  <c r="L48" i="2"/>
  <c r="J34" i="1"/>
  <c r="J38" i="1"/>
  <c r="J36" i="1" s="1"/>
  <c r="C26" i="8"/>
  <c r="C28" i="8" s="1"/>
  <c r="F52" i="1" s="1"/>
  <c r="F54" i="1" s="1"/>
  <c r="D26" i="8"/>
  <c r="D28" i="8" s="1"/>
  <c r="G52" i="1" s="1"/>
  <c r="G54" i="1" s="1"/>
  <c r="E26" i="8"/>
  <c r="E27" i="8" s="1"/>
  <c r="H51" i="1" s="1"/>
  <c r="F26" i="8"/>
  <c r="F27" i="8" s="1"/>
  <c r="B26" i="8"/>
  <c r="B27" i="8" s="1"/>
  <c r="D74" i="1"/>
  <c r="D73" i="1"/>
  <c r="B4" i="8"/>
  <c r="W28" i="14" s="1"/>
  <c r="E75" i="2"/>
  <c r="E41" i="1" s="1"/>
  <c r="F75" i="2"/>
  <c r="F41" i="1" s="1"/>
  <c r="G75" i="2"/>
  <c r="G41" i="1" s="1"/>
  <c r="H75" i="2"/>
  <c r="H41" i="1" s="1"/>
  <c r="D75" i="2"/>
  <c r="D41" i="1" s="1"/>
  <c r="B5" i="10"/>
  <c r="G16" i="8"/>
  <c r="O40" i="1"/>
  <c r="K40" i="1"/>
  <c r="L40" i="1"/>
  <c r="M40" i="1"/>
  <c r="N40" i="1"/>
  <c r="J40" i="1"/>
  <c r="J44" i="1"/>
  <c r="K44" i="1" s="1"/>
  <c r="L44" i="1" s="1"/>
  <c r="F5" i="10"/>
  <c r="D5" i="10"/>
  <c r="E5" i="10"/>
  <c r="C4" i="10"/>
  <c r="D4" i="10"/>
  <c r="E4" i="10"/>
  <c r="F4" i="10"/>
  <c r="B4" i="10"/>
  <c r="C3" i="10"/>
  <c r="D3" i="10"/>
  <c r="E3" i="10"/>
  <c r="F3" i="10"/>
  <c r="B3" i="10"/>
  <c r="G74" i="1"/>
  <c r="H74" i="1"/>
  <c r="F74" i="1"/>
  <c r="E74" i="1"/>
  <c r="E73" i="1"/>
  <c r="F73" i="1"/>
  <c r="G73" i="1"/>
  <c r="H73" i="1"/>
  <c r="I73" i="1"/>
  <c r="M50" i="2"/>
  <c r="E34" i="2"/>
  <c r="F34" i="2"/>
  <c r="G34" i="2"/>
  <c r="H34" i="2"/>
  <c r="D34" i="2"/>
  <c r="C88" i="2"/>
  <c r="C51" i="2"/>
  <c r="E87" i="2"/>
  <c r="F87" i="2"/>
  <c r="G87" i="2"/>
  <c r="H87" i="2"/>
  <c r="C87" i="2"/>
  <c r="D53" i="2"/>
  <c r="C14" i="8"/>
  <c r="D88" i="2"/>
  <c r="E88" i="2"/>
  <c r="F88" i="2"/>
  <c r="G88" i="2"/>
  <c r="H88" i="2"/>
  <c r="B54" i="2"/>
  <c r="C54" i="2"/>
  <c r="E53" i="2"/>
  <c r="F53" i="2"/>
  <c r="G53" i="2"/>
  <c r="H53" i="2"/>
  <c r="C18" i="8"/>
  <c r="D18" i="8"/>
  <c r="E18" i="8"/>
  <c r="B18" i="8"/>
  <c r="C11" i="8"/>
  <c r="D11" i="8"/>
  <c r="E11" i="8"/>
  <c r="F11" i="8"/>
  <c r="B11" i="8"/>
  <c r="F10" i="8"/>
  <c r="D10" i="8"/>
  <c r="E10" i="8"/>
  <c r="C10" i="8"/>
  <c r="C17" i="8"/>
  <c r="D17" i="8"/>
  <c r="E17" i="8"/>
  <c r="N35" i="20" l="1"/>
  <c r="N47" i="20"/>
  <c r="N96" i="20" s="1"/>
  <c r="M35" i="20"/>
  <c r="M47" i="20"/>
  <c r="M96" i="20" s="1"/>
  <c r="M97" i="20" s="1"/>
  <c r="H18" i="8"/>
  <c r="G11" i="8"/>
  <c r="H11" i="8" s="1"/>
  <c r="I18" i="8"/>
  <c r="J18" i="8" s="1"/>
  <c r="D6" i="10"/>
  <c r="F6" i="10"/>
  <c r="B6" i="10"/>
  <c r="G10" i="8"/>
  <c r="G9" i="8" s="1"/>
  <c r="H9" i="8" s="1"/>
  <c r="G17" i="8"/>
  <c r="G12" i="8"/>
  <c r="H13" i="8" s="1"/>
  <c r="H16" i="8" s="1"/>
  <c r="E28" i="8"/>
  <c r="H52" i="1" s="1"/>
  <c r="H54" i="1" s="1"/>
  <c r="D27" i="8"/>
  <c r="G51" i="1" s="1"/>
  <c r="G47" i="1" s="1"/>
  <c r="C27" i="8"/>
  <c r="F51" i="1" s="1"/>
  <c r="F53" i="1" s="1"/>
  <c r="B28" i="8"/>
  <c r="D52" i="1" s="1"/>
  <c r="D47" i="1" s="1"/>
  <c r="D48" i="1" s="1"/>
  <c r="F28" i="8"/>
  <c r="I52" i="1" s="1"/>
  <c r="E52" i="1"/>
  <c r="M48" i="2"/>
  <c r="N48" i="2" s="1"/>
  <c r="F98" i="2"/>
  <c r="E98" i="2"/>
  <c r="E99" i="2" s="1"/>
  <c r="H98" i="2"/>
  <c r="G98" i="2"/>
  <c r="I89" i="2"/>
  <c r="J33" i="1"/>
  <c r="K34" i="1"/>
  <c r="L34" i="1" s="1"/>
  <c r="E6" i="10"/>
  <c r="C6" i="10"/>
  <c r="K38" i="1"/>
  <c r="K36" i="1" s="1"/>
  <c r="H53" i="1"/>
  <c r="M44" i="1"/>
  <c r="N44" i="1" s="1"/>
  <c r="C98" i="2"/>
  <c r="C25" i="8"/>
  <c r="D25" i="8"/>
  <c r="E25" i="8"/>
  <c r="F25" i="8"/>
  <c r="D7" i="8"/>
  <c r="E7" i="8"/>
  <c r="F7" i="8"/>
  <c r="C7" i="8"/>
  <c r="D14" i="8"/>
  <c r="F14" i="8"/>
  <c r="C3" i="8"/>
  <c r="D3" i="8"/>
  <c r="C4" i="17" s="1"/>
  <c r="E3" i="8"/>
  <c r="D4" i="17" s="1"/>
  <c r="F3" i="8"/>
  <c r="E4" i="17" s="1"/>
  <c r="B3" i="8"/>
  <c r="D39" i="2" s="1"/>
  <c r="F40" i="5"/>
  <c r="Q32" i="14" s="1"/>
  <c r="Q38" i="14" s="1"/>
  <c r="G40" i="5"/>
  <c r="R32" i="14" s="1"/>
  <c r="R38" i="14" s="1"/>
  <c r="H40" i="5"/>
  <c r="S32" i="14" s="1"/>
  <c r="S38" i="14" s="1"/>
  <c r="I40" i="5"/>
  <c r="T32" i="14" s="1"/>
  <c r="T38" i="14" s="1"/>
  <c r="E40" i="5"/>
  <c r="P32" i="14" s="1"/>
  <c r="P38" i="14" s="1"/>
  <c r="F20" i="5"/>
  <c r="C25" i="14" s="1"/>
  <c r="J137" i="17" s="1"/>
  <c r="G20" i="5"/>
  <c r="D25" i="14" s="1"/>
  <c r="K137" i="17" s="1"/>
  <c r="H20" i="5"/>
  <c r="E25" i="14" s="1"/>
  <c r="L137" i="17" s="1"/>
  <c r="I20" i="5"/>
  <c r="F25" i="14" s="1"/>
  <c r="M137" i="17" s="1"/>
  <c r="E20" i="5"/>
  <c r="B25" i="14" s="1"/>
  <c r="I137" i="17" s="1"/>
  <c r="F19" i="5"/>
  <c r="G19" i="5"/>
  <c r="H19" i="5"/>
  <c r="I19" i="5"/>
  <c r="E19" i="5"/>
  <c r="I18" i="5"/>
  <c r="F24" i="14" s="1"/>
  <c r="H18" i="5"/>
  <c r="E24" i="14" s="1"/>
  <c r="G18" i="5"/>
  <c r="D24" i="14" s="1"/>
  <c r="F18" i="5"/>
  <c r="C24" i="14" s="1"/>
  <c r="E18" i="5"/>
  <c r="N97" i="20" l="1"/>
  <c r="H6" i="8"/>
  <c r="I9" i="8"/>
  <c r="H10" i="8"/>
  <c r="H12" i="8"/>
  <c r="H17" i="8"/>
  <c r="K18" i="8"/>
  <c r="L18" i="8" s="1"/>
  <c r="I11" i="8"/>
  <c r="J11" i="8" s="1"/>
  <c r="G6" i="8"/>
  <c r="D29" i="14"/>
  <c r="K141" i="17" s="1"/>
  <c r="F67" i="14"/>
  <c r="C29" i="14"/>
  <c r="J141" i="17" s="1"/>
  <c r="E67" i="14"/>
  <c r="D28" i="14"/>
  <c r="F66" i="14"/>
  <c r="C28" i="14"/>
  <c r="E66" i="14"/>
  <c r="B29" i="14"/>
  <c r="I141" i="17" s="1"/>
  <c r="D67" i="14"/>
  <c r="E28" i="14"/>
  <c r="G66" i="14"/>
  <c r="F29" i="14"/>
  <c r="M141" i="17" s="1"/>
  <c r="H67" i="14"/>
  <c r="F28" i="14"/>
  <c r="H66" i="14"/>
  <c r="E29" i="14"/>
  <c r="L141" i="17" s="1"/>
  <c r="G67" i="14"/>
  <c r="B24" i="14"/>
  <c r="H66" i="4"/>
  <c r="G50" i="1"/>
  <c r="I66" i="4"/>
  <c r="H50" i="1"/>
  <c r="G66" i="4"/>
  <c r="F50" i="1"/>
  <c r="F66" i="4"/>
  <c r="E50" i="1"/>
  <c r="E66" i="4"/>
  <c r="D50" i="1"/>
  <c r="E94" i="4"/>
  <c r="I54" i="1"/>
  <c r="G14" i="8"/>
  <c r="G76" i="4"/>
  <c r="G141" i="4"/>
  <c r="I76" i="4"/>
  <c r="I141" i="4"/>
  <c r="F76" i="4"/>
  <c r="F141" i="4"/>
  <c r="H76" i="4"/>
  <c r="H141" i="4"/>
  <c r="E76" i="4"/>
  <c r="E141" i="4"/>
  <c r="H47" i="1"/>
  <c r="G53" i="1"/>
  <c r="G26" i="8"/>
  <c r="F47" i="1"/>
  <c r="E51" i="1"/>
  <c r="E47" i="1" s="1"/>
  <c r="I94" i="4"/>
  <c r="E7" i="17" s="1"/>
  <c r="I50" i="4"/>
  <c r="H33" i="2"/>
  <c r="H80" i="1"/>
  <c r="H39" i="2"/>
  <c r="H31" i="2"/>
  <c r="D80" i="1"/>
  <c r="E50" i="4"/>
  <c r="D31" i="2"/>
  <c r="D33" i="2"/>
  <c r="G39" i="2"/>
  <c r="G80" i="1"/>
  <c r="H50" i="4"/>
  <c r="H94" i="4"/>
  <c r="D7" i="17" s="1"/>
  <c r="G33" i="2"/>
  <c r="G31" i="2"/>
  <c r="I47" i="1"/>
  <c r="I48" i="1" s="1"/>
  <c r="F33" i="2"/>
  <c r="F39" i="2"/>
  <c r="F80" i="1"/>
  <c r="G50" i="4"/>
  <c r="G94" i="4"/>
  <c r="C7" i="17" s="1"/>
  <c r="F31" i="2"/>
  <c r="E39" i="2"/>
  <c r="E80" i="1"/>
  <c r="F50" i="4"/>
  <c r="F94" i="4"/>
  <c r="E33" i="2"/>
  <c r="E31" i="2"/>
  <c r="D82" i="2"/>
  <c r="D78" i="2"/>
  <c r="G78" i="2"/>
  <c r="G82" i="2"/>
  <c r="E82" i="2"/>
  <c r="E78" i="2"/>
  <c r="H78" i="2"/>
  <c r="H82" i="2"/>
  <c r="F82" i="2"/>
  <c r="F78" i="2"/>
  <c r="M34" i="1"/>
  <c r="N34" i="1" s="1"/>
  <c r="O34" i="1" s="1"/>
  <c r="K33" i="1"/>
  <c r="L33" i="1" s="1"/>
  <c r="K74" i="1"/>
  <c r="G43" i="1"/>
  <c r="I43" i="1"/>
  <c r="F43" i="1"/>
  <c r="E8" i="8"/>
  <c r="H40" i="4" s="1"/>
  <c r="H43" i="1"/>
  <c r="J89" i="2"/>
  <c r="K89" i="2" s="1"/>
  <c r="L89" i="2" s="1"/>
  <c r="M89" i="2" s="1"/>
  <c r="N89" i="2" s="1"/>
  <c r="L38" i="1"/>
  <c r="L36" i="1" s="1"/>
  <c r="G48" i="1"/>
  <c r="C15" i="8"/>
  <c r="F41" i="4" s="1"/>
  <c r="C8" i="8"/>
  <c r="F40" i="4" s="1"/>
  <c r="B15" i="8"/>
  <c r="E41" i="4" s="1"/>
  <c r="D54" i="2"/>
  <c r="F54" i="2"/>
  <c r="D8" i="8"/>
  <c r="G40" i="4" s="1"/>
  <c r="H54" i="2"/>
  <c r="F8" i="8"/>
  <c r="I40" i="4" s="1"/>
  <c r="O44" i="1"/>
  <c r="H99" i="2"/>
  <c r="E54" i="2"/>
  <c r="G54" i="2"/>
  <c r="F4" i="8"/>
  <c r="AA28" i="14" s="1"/>
  <c r="D4" i="8"/>
  <c r="Y28" i="14" s="1"/>
  <c r="E4" i="8"/>
  <c r="Z28" i="14" s="1"/>
  <c r="C4" i="8"/>
  <c r="X28" i="14" s="1"/>
  <c r="E15" i="8"/>
  <c r="H41" i="4" s="1"/>
  <c r="F15" i="8"/>
  <c r="D15" i="8"/>
  <c r="G41" i="4" s="1"/>
  <c r="H14" i="8" l="1"/>
  <c r="I13" i="8"/>
  <c r="I16" i="8" s="1"/>
  <c r="I10" i="8"/>
  <c r="J10" i="8" s="1"/>
  <c r="K10" i="8" s="1"/>
  <c r="L10" i="8" s="1"/>
  <c r="J9" i="8"/>
  <c r="K9" i="8" s="1"/>
  <c r="L9" i="8" s="1"/>
  <c r="J6" i="8"/>
  <c r="I6" i="8"/>
  <c r="K11" i="8"/>
  <c r="K6" i="8" s="1"/>
  <c r="H7" i="8"/>
  <c r="H3" i="8"/>
  <c r="H8" i="8"/>
  <c r="I31" i="2"/>
  <c r="J31" i="2"/>
  <c r="K31" i="2" s="1"/>
  <c r="J94" i="4"/>
  <c r="F7" i="17" s="1"/>
  <c r="B28" i="14"/>
  <c r="D66" i="14"/>
  <c r="J66" i="4"/>
  <c r="K66" i="4" s="1"/>
  <c r="L66" i="4" s="1"/>
  <c r="M66" i="4" s="1"/>
  <c r="H26" i="8"/>
  <c r="H27" i="8" s="1"/>
  <c r="I36" i="4"/>
  <c r="I37" i="4" s="1"/>
  <c r="I41" i="4"/>
  <c r="G7" i="8"/>
  <c r="H43" i="2"/>
  <c r="H44" i="2" s="1"/>
  <c r="H90" i="4"/>
  <c r="H91" i="4" s="1"/>
  <c r="H34" i="4"/>
  <c r="H35" i="4" s="1"/>
  <c r="D54" i="1"/>
  <c r="J54" i="1" s="1"/>
  <c r="E36" i="4"/>
  <c r="E37" i="4" s="1"/>
  <c r="G90" i="4"/>
  <c r="G92" i="4" s="1"/>
  <c r="G93" i="4" s="1"/>
  <c r="G34" i="4"/>
  <c r="G35" i="4" s="1"/>
  <c r="G43" i="2"/>
  <c r="G44" i="2" s="1"/>
  <c r="H36" i="4"/>
  <c r="H37" i="4" s="1"/>
  <c r="F43" i="2"/>
  <c r="F44" i="2" s="1"/>
  <c r="G36" i="4"/>
  <c r="G37" i="4" s="1"/>
  <c r="F90" i="4"/>
  <c r="F91" i="4" s="1"/>
  <c r="F34" i="4"/>
  <c r="F35" i="4" s="1"/>
  <c r="E43" i="2"/>
  <c r="F36" i="4"/>
  <c r="F37" i="4" s="1"/>
  <c r="I90" i="4"/>
  <c r="I34" i="4"/>
  <c r="I35" i="4" s="1"/>
  <c r="J141" i="4"/>
  <c r="J76" i="4"/>
  <c r="K76" i="4" s="1"/>
  <c r="H48" i="1"/>
  <c r="G3" i="8"/>
  <c r="F48" i="1"/>
  <c r="G27" i="8"/>
  <c r="G28" i="8"/>
  <c r="M33" i="1"/>
  <c r="N33" i="1" s="1"/>
  <c r="O33" i="1" s="1"/>
  <c r="I33" i="2"/>
  <c r="I78" i="2"/>
  <c r="I82" i="2"/>
  <c r="L74" i="1"/>
  <c r="G40" i="2"/>
  <c r="J43" i="1"/>
  <c r="J42" i="1" s="1"/>
  <c r="M38" i="1"/>
  <c r="N38" i="1" s="1"/>
  <c r="H40" i="2"/>
  <c r="F19" i="8"/>
  <c r="C19" i="8"/>
  <c r="E19" i="8"/>
  <c r="D19" i="8"/>
  <c r="F40" i="2"/>
  <c r="I54" i="2"/>
  <c r="J7" i="8" l="1"/>
  <c r="H4" i="8"/>
  <c r="H15" i="8"/>
  <c r="K7" i="8"/>
  <c r="I12" i="8"/>
  <c r="I17" i="8"/>
  <c r="I7" i="8"/>
  <c r="I3" i="8"/>
  <c r="I4" i="8" s="1"/>
  <c r="L11" i="8"/>
  <c r="L6" i="8" s="1"/>
  <c r="F4" i="17"/>
  <c r="I74" i="2"/>
  <c r="I88" i="2" s="1"/>
  <c r="K54" i="1"/>
  <c r="J52" i="1"/>
  <c r="J47" i="1" s="1"/>
  <c r="L31" i="2"/>
  <c r="M31" i="2" s="1"/>
  <c r="N31" i="2" s="1"/>
  <c r="H28" i="8"/>
  <c r="J41" i="4"/>
  <c r="I50" i="1"/>
  <c r="J29" i="4"/>
  <c r="J89" i="4"/>
  <c r="I91" i="4"/>
  <c r="F92" i="4"/>
  <c r="F93" i="4" s="1"/>
  <c r="H41" i="2"/>
  <c r="F41" i="2"/>
  <c r="G41" i="2"/>
  <c r="J74" i="4"/>
  <c r="I26" i="8"/>
  <c r="I27" i="8" s="1"/>
  <c r="H92" i="4"/>
  <c r="H93" i="4" s="1"/>
  <c r="J23" i="4"/>
  <c r="K71" i="1"/>
  <c r="I92" i="4"/>
  <c r="I93" i="4" s="1"/>
  <c r="H45" i="2"/>
  <c r="G45" i="2"/>
  <c r="J37" i="4"/>
  <c r="G91" i="4"/>
  <c r="J27" i="4"/>
  <c r="N66" i="4"/>
  <c r="O66" i="4" s="1"/>
  <c r="J50" i="1"/>
  <c r="J49" i="1" s="1"/>
  <c r="J63" i="4"/>
  <c r="K141" i="4"/>
  <c r="J140" i="4"/>
  <c r="L76" i="4"/>
  <c r="G4" i="8"/>
  <c r="I30" i="2"/>
  <c r="I32" i="2"/>
  <c r="I27" i="2"/>
  <c r="J37" i="1" s="1"/>
  <c r="G15" i="8"/>
  <c r="I81" i="2"/>
  <c r="I80" i="1"/>
  <c r="J80" i="1" s="1"/>
  <c r="J79" i="1" s="1"/>
  <c r="G8" i="8"/>
  <c r="I77" i="2"/>
  <c r="G4" i="17"/>
  <c r="J82" i="2"/>
  <c r="K82" i="2" s="1"/>
  <c r="L82" i="2" s="1"/>
  <c r="J33" i="2"/>
  <c r="J78" i="2"/>
  <c r="M74" i="1"/>
  <c r="K43" i="1"/>
  <c r="L43" i="1" s="1"/>
  <c r="O38" i="1"/>
  <c r="M36" i="1"/>
  <c r="H63" i="1"/>
  <c r="J54" i="2"/>
  <c r="K54" i="2" s="1"/>
  <c r="I8" i="8" l="1"/>
  <c r="L7" i="8"/>
  <c r="I14" i="8"/>
  <c r="J13" i="8"/>
  <c r="J16" i="8" s="1"/>
  <c r="I15" i="8"/>
  <c r="B17" i="13"/>
  <c r="AB7" i="13" s="1"/>
  <c r="F5" i="17"/>
  <c r="J65" i="4"/>
  <c r="F6" i="17"/>
  <c r="L54" i="1"/>
  <c r="K52" i="1"/>
  <c r="I87" i="2"/>
  <c r="J32" i="4"/>
  <c r="K41" i="4"/>
  <c r="G42" i="2"/>
  <c r="I75" i="2"/>
  <c r="J41" i="1" s="1"/>
  <c r="J78" i="4"/>
  <c r="H42" i="2"/>
  <c r="B7" i="7"/>
  <c r="J93" i="1"/>
  <c r="I28" i="8"/>
  <c r="K23" i="4"/>
  <c r="J36" i="4"/>
  <c r="K37" i="4"/>
  <c r="K50" i="1"/>
  <c r="L50" i="1" s="1"/>
  <c r="M50" i="1" s="1"/>
  <c r="K27" i="4"/>
  <c r="K29" i="4"/>
  <c r="K94" i="4"/>
  <c r="K63" i="4"/>
  <c r="L141" i="4"/>
  <c r="K140" i="4"/>
  <c r="B3" i="7"/>
  <c r="M76" i="4"/>
  <c r="N76" i="4" s="1"/>
  <c r="K74" i="4"/>
  <c r="K78" i="4" s="1"/>
  <c r="C4" i="7"/>
  <c r="I53" i="2"/>
  <c r="G19" i="8"/>
  <c r="K80" i="1"/>
  <c r="K79" i="1" s="1"/>
  <c r="J74" i="2"/>
  <c r="J75" i="2" s="1"/>
  <c r="K41" i="1" s="1"/>
  <c r="K72" i="1"/>
  <c r="L71" i="1" s="1"/>
  <c r="J30" i="2"/>
  <c r="M43" i="1"/>
  <c r="N43" i="1" s="1"/>
  <c r="K42" i="1"/>
  <c r="L42" i="1" s="1"/>
  <c r="J81" i="2"/>
  <c r="M82" i="2"/>
  <c r="J77" i="2"/>
  <c r="K78" i="2"/>
  <c r="J32" i="2"/>
  <c r="K33" i="2"/>
  <c r="L33" i="2" s="1"/>
  <c r="N36" i="1"/>
  <c r="O36" i="1" s="1"/>
  <c r="N74" i="1"/>
  <c r="I63" i="1"/>
  <c r="F63" i="1"/>
  <c r="E48" i="1"/>
  <c r="E63" i="1"/>
  <c r="L54" i="2"/>
  <c r="M54" i="2" s="1"/>
  <c r="N54" i="2" s="1"/>
  <c r="J27" i="2"/>
  <c r="J17" i="8" l="1"/>
  <c r="J12" i="8"/>
  <c r="L23" i="4"/>
  <c r="L93" i="1" s="1"/>
  <c r="H4" i="17"/>
  <c r="L52" i="1"/>
  <c r="M54" i="1"/>
  <c r="M52" i="1" s="1"/>
  <c r="K65" i="4"/>
  <c r="G6" i="17"/>
  <c r="K89" i="4"/>
  <c r="G7" i="17"/>
  <c r="K27" i="2"/>
  <c r="K53" i="2" s="1"/>
  <c r="L41" i="4"/>
  <c r="K30" i="2"/>
  <c r="K77" i="2"/>
  <c r="K74" i="2"/>
  <c r="K75" i="2" s="1"/>
  <c r="L41" i="1" s="1"/>
  <c r="L63" i="4"/>
  <c r="D4" i="7"/>
  <c r="L72" i="1"/>
  <c r="M71" i="1" s="1"/>
  <c r="L94" i="4"/>
  <c r="L74" i="4"/>
  <c r="L78" i="4" s="1"/>
  <c r="I41" i="1"/>
  <c r="K73" i="1"/>
  <c r="K93" i="1"/>
  <c r="K81" i="2"/>
  <c r="L140" i="4"/>
  <c r="L27" i="4"/>
  <c r="K49" i="1"/>
  <c r="K36" i="4"/>
  <c r="L37" i="4"/>
  <c r="K32" i="4"/>
  <c r="K38" i="4" s="1"/>
  <c r="M141" i="4"/>
  <c r="N141" i="4" s="1"/>
  <c r="O76" i="4"/>
  <c r="H19" i="8"/>
  <c r="J88" i="2"/>
  <c r="L80" i="1"/>
  <c r="M80" i="1" s="1"/>
  <c r="N80" i="1" s="1"/>
  <c r="O80" i="1" s="1"/>
  <c r="M42" i="1"/>
  <c r="N42" i="1" s="1"/>
  <c r="O43" i="1"/>
  <c r="J87" i="2"/>
  <c r="L78" i="2"/>
  <c r="M78" i="2" s="1"/>
  <c r="L49" i="1"/>
  <c r="N50" i="1"/>
  <c r="O50" i="1" s="1"/>
  <c r="M33" i="2"/>
  <c r="N33" i="2" s="1"/>
  <c r="K32" i="2"/>
  <c r="N82" i="2"/>
  <c r="O74" i="1"/>
  <c r="K37" i="1"/>
  <c r="G63" i="1"/>
  <c r="J53" i="2"/>
  <c r="C7" i="7" l="1"/>
  <c r="L73" i="1"/>
  <c r="K13" i="8"/>
  <c r="K16" i="8" s="1"/>
  <c r="J14" i="8"/>
  <c r="J3" i="8"/>
  <c r="L37" i="1"/>
  <c r="I19" i="8"/>
  <c r="C3" i="7"/>
  <c r="G5" i="17"/>
  <c r="N54" i="1"/>
  <c r="L89" i="4"/>
  <c r="H7" i="17"/>
  <c r="L65" i="4"/>
  <c r="H6" i="17"/>
  <c r="M41" i="4"/>
  <c r="K88" i="2"/>
  <c r="K87" i="2"/>
  <c r="M37" i="4"/>
  <c r="L36" i="4"/>
  <c r="O141" i="4"/>
  <c r="O42" i="1"/>
  <c r="L79" i="1"/>
  <c r="N78" i="2"/>
  <c r="D7" i="7" l="1"/>
  <c r="J15" i="8"/>
  <c r="J4" i="8"/>
  <c r="J8" i="8"/>
  <c r="K12" i="8"/>
  <c r="K17" i="8"/>
  <c r="N41" i="4" s="1"/>
  <c r="D3" i="7"/>
  <c r="H5" i="17"/>
  <c r="O54" i="1"/>
  <c r="M36" i="4"/>
  <c r="N37" i="4"/>
  <c r="C25" i="13"/>
  <c r="L13" i="8" l="1"/>
  <c r="L16" i="8" s="1"/>
  <c r="K14" i="8"/>
  <c r="K3" i="8"/>
  <c r="K15" i="8" s="1"/>
  <c r="N52" i="1"/>
  <c r="O37" i="4"/>
  <c r="N36" i="4"/>
  <c r="J26" i="8"/>
  <c r="J28" i="8" s="1"/>
  <c r="K4" i="8" l="1"/>
  <c r="K8" i="8"/>
  <c r="L12" i="8"/>
  <c r="L17" i="8"/>
  <c r="O41" i="4" s="1"/>
  <c r="J27" i="8"/>
  <c r="L26" i="8"/>
  <c r="L28" i="8" s="1"/>
  <c r="K26" i="8"/>
  <c r="K28" i="8" s="1"/>
  <c r="L14" i="8" l="1"/>
  <c r="L3" i="8"/>
  <c r="O52" i="1"/>
  <c r="O36" i="4"/>
  <c r="M23" i="4"/>
  <c r="M93" i="1" s="1"/>
  <c r="I4" i="17"/>
  <c r="M63" i="4"/>
  <c r="M27" i="4"/>
  <c r="M74" i="4"/>
  <c r="M78" i="4" s="1"/>
  <c r="M140" i="4"/>
  <c r="K27" i="8"/>
  <c r="L27" i="8"/>
  <c r="O23" i="4"/>
  <c r="M79" i="1"/>
  <c r="L30" i="2"/>
  <c r="M49" i="1"/>
  <c r="M94" i="4"/>
  <c r="I7" i="17" s="1"/>
  <c r="E4" i="7"/>
  <c r="M72" i="1"/>
  <c r="L81" i="2"/>
  <c r="L77" i="2"/>
  <c r="L32" i="2"/>
  <c r="L27" i="2"/>
  <c r="L74" i="2"/>
  <c r="L75" i="2" s="1"/>
  <c r="M41" i="1" s="1"/>
  <c r="E44" i="2"/>
  <c r="E40" i="2"/>
  <c r="M73" i="1" l="1"/>
  <c r="L4" i="8"/>
  <c r="L8" i="8"/>
  <c r="L15" i="8"/>
  <c r="N23" i="4"/>
  <c r="O93" i="1" s="1"/>
  <c r="J4" i="17"/>
  <c r="M65" i="4"/>
  <c r="I6" i="17"/>
  <c r="M89" i="4"/>
  <c r="E41" i="2"/>
  <c r="N63" i="4"/>
  <c r="N27" i="4"/>
  <c r="O63" i="4"/>
  <c r="O27" i="4"/>
  <c r="N74" i="4"/>
  <c r="N78" i="4" s="1"/>
  <c r="N140" i="4"/>
  <c r="O140" i="4"/>
  <c r="N81" i="2"/>
  <c r="O74" i="4"/>
  <c r="O78" i="4" s="1"/>
  <c r="N77" i="2"/>
  <c r="O72" i="1"/>
  <c r="N27" i="2"/>
  <c r="N74" i="2"/>
  <c r="G4" i="7"/>
  <c r="N94" i="4"/>
  <c r="J7" i="17" s="1"/>
  <c r="N32" i="2"/>
  <c r="N71" i="1"/>
  <c r="J19" i="8"/>
  <c r="M30" i="2"/>
  <c r="N79" i="1"/>
  <c r="N49" i="1"/>
  <c r="N72" i="1"/>
  <c r="F4" i="7"/>
  <c r="M77" i="2"/>
  <c r="M74" i="2"/>
  <c r="M27" i="2"/>
  <c r="M32" i="2"/>
  <c r="M81" i="2"/>
  <c r="O49" i="1"/>
  <c r="O79" i="1"/>
  <c r="N30" i="2"/>
  <c r="M37" i="1"/>
  <c r="L88" i="2"/>
  <c r="L53" i="2"/>
  <c r="L87" i="2"/>
  <c r="F45" i="2"/>
  <c r="G99" i="2"/>
  <c r="E7" i="7" l="1"/>
  <c r="O73" i="1"/>
  <c r="N73" i="1"/>
  <c r="N93" i="1"/>
  <c r="N65" i="4"/>
  <c r="J6" i="17"/>
  <c r="E3" i="7"/>
  <c r="I5" i="17"/>
  <c r="N89" i="4"/>
  <c r="O94" i="4"/>
  <c r="O89" i="4" s="1"/>
  <c r="G3" i="7" s="1"/>
  <c r="O65" i="4"/>
  <c r="F42" i="2"/>
  <c r="L19" i="8"/>
  <c r="N88" i="2"/>
  <c r="N53" i="2"/>
  <c r="N87" i="2"/>
  <c r="K19" i="8"/>
  <c r="O37" i="1"/>
  <c r="M87" i="2"/>
  <c r="M75" i="2"/>
  <c r="N41" i="1" s="1"/>
  <c r="M53" i="2"/>
  <c r="N37" i="1"/>
  <c r="O71" i="1"/>
  <c r="N75" i="2"/>
  <c r="O41" i="1" s="1"/>
  <c r="M88" i="2"/>
  <c r="F99" i="2"/>
  <c r="F7" i="7" l="1"/>
  <c r="G7" i="7"/>
  <c r="F3" i="7"/>
  <c r="J5" i="17"/>
  <c r="D43" i="2"/>
  <c r="D44" i="2" s="1"/>
  <c r="B8" i="8"/>
  <c r="E40" i="4" s="1"/>
  <c r="J40" i="4" s="1"/>
  <c r="E45" i="2" l="1"/>
  <c r="I45" i="2" s="1"/>
  <c r="I44" i="2"/>
  <c r="I43" i="2" s="1"/>
  <c r="K40" i="4"/>
  <c r="L40" i="4" s="1"/>
  <c r="M40" i="4" s="1"/>
  <c r="J42" i="4"/>
  <c r="E90" i="4"/>
  <c r="E91" i="4" s="1"/>
  <c r="E34" i="4"/>
  <c r="B19" i="8"/>
  <c r="D40" i="2"/>
  <c r="N40" i="4" l="1"/>
  <c r="O40" i="4" s="1"/>
  <c r="B5" i="7"/>
  <c r="K53" i="1"/>
  <c r="J45" i="2"/>
  <c r="K45" i="2" s="1"/>
  <c r="L45" i="2" s="1"/>
  <c r="M45" i="2" s="1"/>
  <c r="N45" i="2" s="1"/>
  <c r="J39" i="4"/>
  <c r="J43" i="4"/>
  <c r="E92" i="4"/>
  <c r="E93" i="4" s="1"/>
  <c r="J93" i="4" s="1"/>
  <c r="J92" i="4" s="1"/>
  <c r="K42" i="4"/>
  <c r="E35" i="4"/>
  <c r="J35" i="4" s="1"/>
  <c r="D41" i="2"/>
  <c r="E42" i="2" s="1"/>
  <c r="I42" i="2" s="1"/>
  <c r="J91" i="4"/>
  <c r="J44" i="2" l="1"/>
  <c r="J64" i="4"/>
  <c r="J44" i="4"/>
  <c r="K93" i="4"/>
  <c r="L93" i="4" s="1"/>
  <c r="M93" i="4" s="1"/>
  <c r="N93" i="4" s="1"/>
  <c r="L53" i="1"/>
  <c r="K51" i="1"/>
  <c r="K47" i="1" s="1"/>
  <c r="J42" i="2"/>
  <c r="K42" i="2" s="1"/>
  <c r="L42" i="2" s="1"/>
  <c r="M42" i="2" s="1"/>
  <c r="N42" i="2" s="1"/>
  <c r="I41" i="2"/>
  <c r="I40" i="2" s="1"/>
  <c r="K39" i="4"/>
  <c r="K44" i="4" s="1"/>
  <c r="K43" i="4"/>
  <c r="L42" i="4"/>
  <c r="J90" i="4"/>
  <c r="K91" i="4"/>
  <c r="L91" i="4"/>
  <c r="M91" i="4" s="1"/>
  <c r="O93" i="4"/>
  <c r="J34" i="4"/>
  <c r="K35" i="4"/>
  <c r="K34" i="4" s="1"/>
  <c r="L35" i="4"/>
  <c r="K44" i="2"/>
  <c r="L44" i="2" s="1"/>
  <c r="M44" i="2" s="1"/>
  <c r="N44" i="2" s="1"/>
  <c r="J43" i="2"/>
  <c r="K92" i="4"/>
  <c r="L92" i="4" s="1"/>
  <c r="C5" i="7" l="1"/>
  <c r="L51" i="1"/>
  <c r="L47" i="1" s="1"/>
  <c r="M53" i="1"/>
  <c r="L39" i="4"/>
  <c r="L43" i="4"/>
  <c r="M42" i="4"/>
  <c r="N91" i="4"/>
  <c r="O91" i="4" s="1"/>
  <c r="K90" i="4"/>
  <c r="L90" i="4" s="1"/>
  <c r="M35" i="4"/>
  <c r="L34" i="4"/>
  <c r="K43" i="2"/>
  <c r="M92" i="4"/>
  <c r="N92" i="4" s="1"/>
  <c r="J41" i="2"/>
  <c r="J40" i="2" s="1"/>
  <c r="I37" i="2"/>
  <c r="L43" i="2"/>
  <c r="D5" i="7" l="1"/>
  <c r="N53" i="1"/>
  <c r="M51" i="1"/>
  <c r="M47" i="1" s="1"/>
  <c r="I51" i="2"/>
  <c r="I39" i="1"/>
  <c r="F8" i="17"/>
  <c r="M39" i="4"/>
  <c r="M43" i="4"/>
  <c r="N42" i="4"/>
  <c r="O42" i="4"/>
  <c r="N35" i="4"/>
  <c r="N34" i="4" s="1"/>
  <c r="M34" i="4"/>
  <c r="O92" i="4"/>
  <c r="I39" i="2"/>
  <c r="M90" i="4"/>
  <c r="I35" i="1"/>
  <c r="K41" i="2"/>
  <c r="K40" i="2" s="1"/>
  <c r="J37" i="2"/>
  <c r="M43" i="2"/>
  <c r="N43" i="2"/>
  <c r="E5" i="7" l="1"/>
  <c r="O53" i="1"/>
  <c r="O51" i="1" s="1"/>
  <c r="O47" i="1" s="1"/>
  <c r="N51" i="1"/>
  <c r="N47" i="1" s="1"/>
  <c r="J51" i="2"/>
  <c r="G8" i="17"/>
  <c r="O39" i="4"/>
  <c r="O43" i="4"/>
  <c r="N39" i="4"/>
  <c r="N43" i="4"/>
  <c r="O35" i="4"/>
  <c r="O34" i="4" s="1"/>
  <c r="J39" i="2"/>
  <c r="N90" i="4"/>
  <c r="J39" i="1"/>
  <c r="J35" i="1" s="1"/>
  <c r="L41" i="2"/>
  <c r="L40" i="2" s="1"/>
  <c r="K37" i="2"/>
  <c r="F5" i="7" l="1"/>
  <c r="G5" i="7"/>
  <c r="K51" i="2"/>
  <c r="K39" i="2"/>
  <c r="J98" i="2"/>
  <c r="J99" i="2" s="1"/>
  <c r="C6" i="7" s="1"/>
  <c r="O90" i="4"/>
  <c r="K39" i="1"/>
  <c r="K35" i="1" s="1"/>
  <c r="M41" i="2"/>
  <c r="M40" i="2" s="1"/>
  <c r="L37" i="2"/>
  <c r="L51" i="2" l="1"/>
  <c r="L39" i="2"/>
  <c r="B8" i="7"/>
  <c r="C14" i="7" s="1"/>
  <c r="C16" i="7" s="1"/>
  <c r="K98" i="2"/>
  <c r="K99" i="2" s="1"/>
  <c r="D6" i="7" s="1"/>
  <c r="L39" i="1"/>
  <c r="L35" i="1" s="1"/>
  <c r="N41" i="2"/>
  <c r="M37" i="2"/>
  <c r="M51" i="2" l="1"/>
  <c r="C8" i="7"/>
  <c r="D14" i="7" s="1"/>
  <c r="N40" i="2"/>
  <c r="M39" i="2"/>
  <c r="L98" i="2"/>
  <c r="L99" i="2" s="1"/>
  <c r="E6" i="7" s="1"/>
  <c r="O39" i="1"/>
  <c r="O35" i="1" s="1"/>
  <c r="M39" i="1"/>
  <c r="M35" i="1" s="1"/>
  <c r="N37" i="2" l="1"/>
  <c r="N51" i="2" s="1"/>
  <c r="N98" i="2" s="1"/>
  <c r="D16" i="7"/>
  <c r="D8" i="7"/>
  <c r="E14" i="7" s="1"/>
  <c r="M98" i="2"/>
  <c r="M99" i="2" s="1"/>
  <c r="F6" i="7" s="1"/>
  <c r="N39" i="1" l="1"/>
  <c r="N35" i="1" s="1"/>
  <c r="N39" i="2"/>
  <c r="E16" i="7"/>
  <c r="E8" i="7"/>
  <c r="F14" i="7" s="1"/>
  <c r="N99" i="2"/>
  <c r="G6" i="7" s="1"/>
  <c r="F16" i="7" l="1"/>
  <c r="F8" i="7"/>
  <c r="G14" i="7" s="1"/>
  <c r="G8" i="7"/>
  <c r="H14" i="7" s="1"/>
  <c r="H15" i="7" s="1"/>
  <c r="J38" i="4" l="1"/>
  <c r="M29" i="4" l="1"/>
  <c r="N29" i="4"/>
  <c r="L29" i="4"/>
  <c r="L32" i="4" l="1"/>
  <c r="H8" i="17"/>
  <c r="N32" i="4"/>
  <c r="J8" i="17"/>
  <c r="M32" i="4"/>
  <c r="I8" i="17"/>
  <c r="O29" i="4"/>
  <c r="O32" i="4" s="1"/>
  <c r="O38" i="4" l="1"/>
  <c r="O44" i="4"/>
  <c r="M38" i="4"/>
  <c r="M44" i="4"/>
  <c r="N38" i="4"/>
  <c r="N44" i="4"/>
  <c r="L38" i="4"/>
  <c r="L44" i="4"/>
  <c r="G16" i="7"/>
  <c r="C18" i="7" l="1"/>
  <c r="AB6" i="13" s="1"/>
  <c r="C24" i="13" l="1"/>
  <c r="C26" i="13" s="1"/>
  <c r="C27" i="13" s="1"/>
  <c r="C34" i="7"/>
  <c r="C33" i="7"/>
  <c r="A33" i="7"/>
  <c r="AD6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tc={F67D0247-0742-6949-9D90-F3B7DAC2CA50}</author>
  </authors>
  <commentList>
    <comment ref="A72" authorId="0" shapeId="0" xr:uid="{F67D0247-0742-6949-9D90-F3B7DAC2C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net borrowings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tc={46FCFDC0-EEB2-A541-9D31-19BE349A170E}</author>
    <author>tc={C3AE2672-2958-6747-965A-D8AD0C50DE2E}</author>
    <author>tc={4106A657-858E-F04B-BBD5-CD3D6FC75C98}</author>
  </authors>
  <commentList>
    <comment ref="I27" authorId="0" shapeId="0" xr:uid="{46FCFDC0-EEB2-A541-9D31-19BE349A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</t>
      </text>
    </comment>
    <comment ref="A34" authorId="1" shapeId="0" xr:uid="{C3AE2672-2958-6747-965A-D8AD0C50DE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pattern</t>
      </text>
    </comment>
    <comment ref="A35" authorId="2" shapeId="0" xr:uid="{4106A657-858E-F04B-BBD5-CD3D6FC75C98}">
      <text>
        <t>[Threaded comment]
Your version of Excel allows you to read this threaded comment; however, any edits to it will get removed if the file is opened in a newer version of Excel. Learn more: https://go.microsoft.com/fwlink/?linkid=870924
Comment:
    cash equivalents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tc={D34A722F-C094-9041-9DF7-430D4EF1EBC8}</author>
    <author>tc={C167C54C-608E-5645-8E48-A1862206F6F4}</author>
    <author>tc={B353DAB8-FB27-694B-AC05-CE300D6BAF13}</author>
  </authors>
  <commentList>
    <comment ref="I23" authorId="0" shapeId="0" xr:uid="{D34A722F-C094-9041-9DF7-430D4EF1E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recheck</t>
      </text>
    </comment>
    <comment ref="A30" authorId="1" shapeId="0" xr:uid="{C167C54C-608E-5645-8E48-A1862206F6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pattern</t>
      </text>
    </comment>
    <comment ref="A31" authorId="2" shapeId="0" xr:uid="{B353DAB8-FB27-694B-AC05-CE300D6BA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cash equivalents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tc={62971224-4E15-D242-BA40-2AD487BE9708}</author>
  </authors>
  <commentList>
    <comment ref="G25" authorId="0" shapeId="0" xr:uid="{62971224-4E15-D242-BA40-2AD487BE9708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assets to 5 yrs wont make that big changes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tc={B4908BDF-1C36-9B43-99C9-34BB8679C749}</author>
    <author>tc={80EAE944-9461-034A-B366-343B6A0575B0}</author>
  </authors>
  <commentList>
    <comment ref="H35" authorId="0" shapeId="0" xr:uid="{B4908BDF-1C36-9B43-99C9-34BB8679C7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falling</t>
      </text>
    </comment>
    <comment ref="A40" authorId="1" shapeId="0" xr:uid="{80EAE944-9461-034A-B366-343B6A0575B0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multiplier</t>
      </text>
    </comment>
  </commentList>
</comments>
</file>

<file path=xl/sharedStrings.xml><?xml version="1.0" encoding="utf-8"?>
<sst xmlns="http://schemas.openxmlformats.org/spreadsheetml/2006/main" count="6046" uniqueCount="915">
  <si>
    <t>FPT Digital Retail JSC | Cash Flow                                11-Oct-2023 12:01</t>
  </si>
  <si>
    <t>Cash Flow</t>
  </si>
  <si>
    <t>Industry - Annual Standardised in Millions of Vietnamese Dong</t>
  </si>
  <si>
    <t>Earnings Quality Score</t>
  </si>
  <si>
    <t>N/A </t>
  </si>
  <si>
    <t>2 </t>
  </si>
  <si>
    <t>-- </t>
  </si>
  <si>
    <t>17 </t>
  </si>
  <si>
    <t>89 </t>
  </si>
  <si>
    <t>10 </t>
  </si>
  <si>
    <t>12 </t>
  </si>
  <si>
    <t>Period End Date</t>
  </si>
  <si>
    <t>31-Dec-2016 </t>
  </si>
  <si>
    <t>31-Dec-2017 </t>
  </si>
  <si>
    <t>31-Dec-2018 </t>
  </si>
  <si>
    <t>31-Dec-2019 </t>
  </si>
  <si>
    <t>31-Dec-2020 </t>
  </si>
  <si>
    <t>31-Dec-2021 </t>
  </si>
  <si>
    <t>31-Dec-2022 </t>
  </si>
  <si>
    <t>Period Length</t>
  </si>
  <si>
    <t>12 Months </t>
  </si>
  <si>
    <t>Update Type</t>
  </si>
  <si>
    <t>Updated </t>
  </si>
  <si>
    <t>Restated </t>
  </si>
  <si>
    <t>Statement Date</t>
  </si>
  <si>
    <t>Reporting Unit</t>
  </si>
  <si>
    <t>Thousands </t>
  </si>
  <si>
    <t>Update Date</t>
  </si>
  <si>
    <t>30-Oct-2020 </t>
  </si>
  <si>
    <t>23-Nov-2022 </t>
  </si>
  <si>
    <t>06-Jun-2022 </t>
  </si>
  <si>
    <t>06-Jun-2023 </t>
  </si>
  <si>
    <t>08-Jun-2023 </t>
  </si>
  <si>
    <t>Reporting Currency</t>
  </si>
  <si>
    <t>Vietnamese Dong </t>
  </si>
  <si>
    <t>Source</t>
  </si>
  <si>
    <t>ARS </t>
  </si>
  <si>
    <t>Source Date</t>
  </si>
  <si>
    <t>27-Apr-2018 </t>
  </si>
  <si>
    <t>16-Apr-2019 </t>
  </si>
  <si>
    <t>31-Mar-2020 </t>
  </si>
  <si>
    <t>31-Mar-2021 </t>
  </si>
  <si>
    <t>14-Mar-2022 </t>
  </si>
  <si>
    <t>27-Mar-2023 </t>
  </si>
  <si>
    <t>Original Announcement Date</t>
  </si>
  <si>
    <t>10-Apr-2018 03:48 </t>
  </si>
  <si>
    <t>27-Apr-2018 05:00 </t>
  </si>
  <si>
    <t>21-Jan-2019 11:01 </t>
  </si>
  <si>
    <t>22-Jan-2020 14:59 </t>
  </si>
  <si>
    <t>01-Feb-2021 06:43 </t>
  </si>
  <si>
    <t>07-Feb-2022 15:18 </t>
  </si>
  <si>
    <t>31-Jan-2023 20:37 </t>
  </si>
  <si>
    <t>Complete Statement</t>
  </si>
  <si>
    <t>Complete </t>
  </si>
  <si>
    <t>Flash Update</t>
  </si>
  <si>
    <t>No </t>
  </si>
  <si>
    <t>Consolidated</t>
  </si>
  <si>
    <t>Yes </t>
  </si>
  <si>
    <t>Auditor Name</t>
  </si>
  <si>
    <t>Vietnam Deloitte Co., Ltd </t>
  </si>
  <si>
    <t>Deloitte Vietnam Co., Ltd </t>
  </si>
  <si>
    <t>PWC Vietnam Limited </t>
  </si>
  <si>
    <t>Auditor Opinion</t>
  </si>
  <si>
    <t>Unqualified with Explanation </t>
  </si>
  <si>
    <t>Unqualified </t>
  </si>
  <si>
    <t>Accounting Standard</t>
  </si>
  <si>
    <t>Vietnamese Accounting Standards </t>
  </si>
  <si>
    <t>Cash Flow-Operating Activities (VND Millions)</t>
  </si>
  <si>
    <t>Net Income/Starting Line</t>
  </si>
  <si>
    <t>Depreciation/Depletion</t>
  </si>
  <si>
    <t>Depreciation</t>
  </si>
  <si>
    <t>Amortization</t>
  </si>
  <si>
    <t>--</t>
  </si>
  <si>
    <t>Amortization of Intangibles</t>
  </si>
  <si>
    <t>Deferred Taxes</t>
  </si>
  <si>
    <t>Non-Cash Items</t>
  </si>
  <si>
    <t>Unusual Items</t>
  </si>
  <si>
    <t>Other Non-Cash Items</t>
  </si>
  <si>
    <t>Changes in Working Capital</t>
  </si>
  <si>
    <t>Accounts Receivable</t>
  </si>
  <si>
    <t>Inventories</t>
  </si>
  <si>
    <t>Prepaid Expenses</t>
  </si>
  <si>
    <t>Accounts Payable</t>
  </si>
  <si>
    <t>Other Operating Cash Flow</t>
  </si>
  <si>
    <t>Cash from Operating Activities</t>
  </si>
  <si>
    <t>Cash Flow-Investing Activities (VND Millions)</t>
  </si>
  <si>
    <t>Capital Expenditures</t>
  </si>
  <si>
    <t>Purchase of Fixed Assets</t>
  </si>
  <si>
    <t>Other Investing Cash Flow Items, Total</t>
  </si>
  <si>
    <t>Sale of Fixed Assets</t>
  </si>
  <si>
    <t>Sale/Maturity of Investment</t>
  </si>
  <si>
    <t>Purchase of Investments</t>
  </si>
  <si>
    <t>Other Investing Cash Flow</t>
  </si>
  <si>
    <t>Cash from Investing Activities</t>
  </si>
  <si>
    <t>Cash Flow-Financing Activities (VND Millions)</t>
  </si>
  <si>
    <t>Financing Cash Flow Items</t>
  </si>
  <si>
    <t>Total Cash Dividends Paid</t>
  </si>
  <si>
    <t>Cash Dividends Paid - Common</t>
  </si>
  <si>
    <t>Issuance (Retirement) of Stock, Net</t>
  </si>
  <si>
    <t>Sale/Issuance of Common</t>
  </si>
  <si>
    <t>Repurchase/Retirement of Common</t>
  </si>
  <si>
    <t>Common Stock, Net</t>
  </si>
  <si>
    <t>Issuance (Retirement) of Debt, Net</t>
  </si>
  <si>
    <t>Short Term Debt Issued</t>
  </si>
  <si>
    <t>Short Term Debt Reduction</t>
  </si>
  <si>
    <t>Short Term Debt, Net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</si>
  <si>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</si>
  <si>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</si>
  <si>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</si>
  <si>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</si>
  <si>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</si>
  <si>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Cash Interest Paid</t>
  </si>
  <si>
    <t>Cash Taxes Paid</t>
  </si>
  <si>
    <t>Lease liability Issued, Supplemental</t>
  </si>
  <si>
    <t>Lease liability Reduced, Supplemental</t>
  </si>
  <si>
    <t>Lease liability Net, Supplemental</t>
  </si>
  <si>
    <t>Share Based Payments, Supplemental</t>
  </si>
  <si>
    <t>Tax Payments - Employee Options&amp;Buy Back</t>
  </si>
  <si>
    <t>Net Changes in Working Capital</t>
  </si>
  <si>
    <t>Reported Cash from Operating Activities</t>
  </si>
  <si>
    <t>Reported Cash from Investing Activities</t>
  </si>
  <si>
    <t>Reported Cash from Financing Activities</t>
  </si>
  <si>
    <t>Free Cash Flow</t>
  </si>
  <si>
    <t>FPT Digital Retail JSC | Balance Sheet                                11-Oct-2023 12:01</t>
  </si>
  <si>
    <t>Balance Sheet</t>
  </si>
  <si>
    <t>Assets (VND Millions)</t>
  </si>
  <si>
    <t>Cash and Short Term Investments</t>
  </si>
  <si>
    <t>Cash</t>
  </si>
  <si>
    <t>Cash &amp; Equivalents</t>
  </si>
  <si>
    <t>Short Term Investments</t>
  </si>
  <si>
    <t>Accounts Receivable - Trade, Net</t>
  </si>
  <si>
    <t>Accounts Receivable - Trade, Gross</t>
  </si>
  <si>
    <t>Provision for Doubtful Accounts</t>
  </si>
  <si>
    <t>Total Receivables, Net</t>
  </si>
  <si>
    <t>Notes Receivable - Short Term</t>
  </si>
  <si>
    <t>Receivables - Other</t>
  </si>
  <si>
    <t>Total Inventory</t>
  </si>
  <si>
    <t>Inventories - Finished Goods</t>
  </si>
  <si>
    <t>Inventories - Other</t>
  </si>
  <si>
    <t>Other Current Assets, Total</t>
  </si>
  <si>
    <t>Total Current Assets</t>
  </si>
  <si>
    <t>Property/Plant/Equipment, Total - Gross</t>
  </si>
  <si>
    <t>Buildings - Gross</t>
  </si>
  <si>
    <t>Machinery/Equipment - Gross</t>
  </si>
  <si>
    <t>Construction in Progress - Gross</t>
  </si>
  <si>
    <t>Other Property/Plant/Equipment - Gross</t>
  </si>
  <si>
    <t>Property/Plant/Equipment, Total - Net</t>
  </si>
  <si>
    <t>Accumulated Depreciation, Total</t>
  </si>
  <si>
    <t>Goodwill, Net</t>
  </si>
  <si>
    <t>Intangibles, Net</t>
  </si>
  <si>
    <t>Intangibles - Gross</t>
  </si>
  <si>
    <t>Accumulated Intangible Amortization</t>
  </si>
  <si>
    <t>Long Term Investments</t>
  </si>
  <si>
    <t>Note Receivable - Long Term</t>
  </si>
  <si>
    <t>Other Long Term Assets, Total</t>
  </si>
  <si>
    <t>Deferred Charges</t>
  </si>
  <si>
    <t>Defered Income Tax - Long Term Asset</t>
  </si>
  <si>
    <t>Total Assets</t>
  </si>
  <si>
    <t>Liabilities (VND Millions)</t>
  </si>
  <si>
    <t>Payable/Accrued</t>
  </si>
  <si>
    <t>Accrued Expenses</t>
  </si>
  <si>
    <t>Notes Payable/Short Term Debt</t>
  </si>
  <si>
    <t>Current Port. of LT Debt/Capital Leases</t>
  </si>
  <si>
    <t>Other Current liabilities, Total</t>
  </si>
  <si>
    <t>Customer Advances</t>
  </si>
  <si>
    <t>Income Taxes Payable</t>
  </si>
  <si>
    <t>Other Current Liabilities</t>
  </si>
  <si>
    <t>Total Current Liabilities</t>
  </si>
  <si>
    <t>Total Long Term Debt</t>
  </si>
  <si>
    <t>Total Debt</t>
  </si>
  <si>
    <t>Deferred Income Tax</t>
  </si>
  <si>
    <t>Deferred Income Tax - LT Liability</t>
  </si>
  <si>
    <t>Minority Interest</t>
  </si>
  <si>
    <t>Other Liabilities, Total</t>
  </si>
  <si>
    <t>Other Long Term Liabilities</t>
  </si>
  <si>
    <t>Total Liabilities</t>
  </si>
  <si>
    <t>Shareholders Equity (VND Millions)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</si>
  <si>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</si>
  <si>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</si>
  <si>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</si>
  <si>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</si>
  <si>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</si>
  <si>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</si>
  <si>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</si>
  <si>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</si>
  <si>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</si>
  <si>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</si>
  <si>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Total Equity</t>
  </si>
  <si>
    <t>Total Liabilities &amp; Shareholders' Equity</t>
  </si>
  <si>
    <t>Supplemental (VND Millions)</t>
  </si>
  <si>
    <t>Shares Outstanding - Common Issue 2</t>
  </si>
  <si>
    <t>Shares Outstanding - Common Issue 3</t>
  </si>
  <si>
    <t>Shares Outstanding - Common Issue 4</t>
  </si>
  <si>
    <t>Total Common Shares Outstanding</t>
  </si>
  <si>
    <t>Shares Outs - Common Stock Primary Issue</t>
  </si>
  <si>
    <t>Treas Shares - Common Stock Prmry Issue</t>
  </si>
  <si>
    <t>Treasury Shares - Common Issue 2</t>
  </si>
  <si>
    <t>Treasury Shares - Common Issue 3</t>
  </si>
  <si>
    <t>Treasury Shares - Common Issue 4</t>
  </si>
  <si>
    <t>Total Preferred Shares Outstanding</t>
  </si>
  <si>
    <t>Treasury Shares - Preferred Issue 1</t>
  </si>
  <si>
    <t>Treasury Shares - Preferred Issue 2</t>
  </si>
  <si>
    <t>Treasury Shares - Preferred Issue 3</t>
  </si>
  <si>
    <t>Treasury Shares - Preferred Issue 4</t>
  </si>
  <si>
    <t>Treasury Shares - Preferred Issue 5</t>
  </si>
  <si>
    <t>Treasury Shares - Preferred Issue 6</t>
  </si>
  <si>
    <t>Minority Interest - Redeemable</t>
  </si>
  <si>
    <t>Minority Interest - Non Redeemable</t>
  </si>
  <si>
    <t>Total Equity &amp; Minority Interest</t>
  </si>
  <si>
    <t>Full-Time Employees</t>
  </si>
  <si>
    <t>Part-Time Employees</t>
  </si>
  <si>
    <t>Number of Common Shareholders</t>
  </si>
  <si>
    <t>Other Property/Plant/Equipment - Net</t>
  </si>
  <si>
    <t>Intangibles - Net</t>
  </si>
  <si>
    <t>Goodwill - Net</t>
  </si>
  <si>
    <t>Accumulated Goodwill Amortization Suppl.</t>
  </si>
  <si>
    <t>Accumulated Intangible Amort, Suppl.</t>
  </si>
  <si>
    <t>Wgt Avg Rem Lease Term (Yrs)-Oper Lease</t>
  </si>
  <si>
    <t>Wgt Avg Rem Lease Term (Yrs)-Fin Lease</t>
  </si>
  <si>
    <t>Wgt Avg Disc Rate - Operating Lease</t>
  </si>
  <si>
    <t>Wgt Avg Disc Rate - Finance Lease</t>
  </si>
  <si>
    <t>Right-of-Use Assets-Cap.Lease,Net-Suppl.</t>
  </si>
  <si>
    <t>Right-of-Use Assets-Cap.Lease,Gross-Sup.</t>
  </si>
  <si>
    <t>Right-of-Use Assets-Cap.Lease,Depr.-Sup.</t>
  </si>
  <si>
    <t>Right-of-Use Assets-Op.Lease, Net-Suppl.</t>
  </si>
  <si>
    <t>Right-of-Use Assets-Op.Lease, Gross-Sup.</t>
  </si>
  <si>
    <t>Right-of-Use Assets-Op.Lease, Depr.-Sup.</t>
  </si>
  <si>
    <t>Non-Current Marketable Securities,Suppl.</t>
  </si>
  <si>
    <t>Contract Assets - Short Term</t>
  </si>
  <si>
    <t>Contract Assets - Long Term</t>
  </si>
  <si>
    <t>Contract Liability - Long Term</t>
  </si>
  <si>
    <t>Contract Liability - Short Term</t>
  </si>
  <si>
    <t>Deferred Revenue - Current</t>
  </si>
  <si>
    <t>Deferred Revenue - Long Term</t>
  </si>
  <si>
    <t>Short Term Debt Financial Sector, Suppl.</t>
  </si>
  <si>
    <t>Curr Port - LTD/Cap Lse Fin Sec., Suppl.</t>
  </si>
  <si>
    <t>Long Term Debt Financial Sector, Suppl.</t>
  </si>
  <si>
    <t>Capital Lease Oblig. - Fin Sector, Suppl</t>
  </si>
  <si>
    <t>Curr. Port. of LT Capital Leases, Suppl.</t>
  </si>
  <si>
    <t>Curr Port of LT Operating Leases, Suppl.</t>
  </si>
  <si>
    <t>Long-Term Operating Lease Liabs., Suppl.</t>
  </si>
  <si>
    <t>Curr Derivative Liab. Hedging, Suppl.</t>
  </si>
  <si>
    <t>Curr Derivative Liab. Spec./Trdg, Suppl.</t>
  </si>
  <si>
    <t>Non-Curr Derivative Liab. Hedging, Suppl</t>
  </si>
  <si>
    <t>Non-Curr Derivative Liab Spec/Trdg Suppl</t>
  </si>
  <si>
    <t>Leverage Ratio (Basel 3)</t>
  </si>
  <si>
    <t>Net Stable Funding Ratio (Basel 3)</t>
  </si>
  <si>
    <t>Liquidity Coverage Ratio (Basel 3)</t>
  </si>
  <si>
    <t>Capital Adequacy - Core Tier 1 (Value)</t>
  </si>
  <si>
    <t>Capital Adequacy - Hybrid Tier 1 (Value)</t>
  </si>
  <si>
    <t>Capital Adequacy -Tier 1 Capital (Value)</t>
  </si>
  <si>
    <t>Capital Adequacy -Tier 2 Capital (Value)</t>
  </si>
  <si>
    <t>Capital Adequacy -Tier 3 Capital (Value)</t>
  </si>
  <si>
    <t>Capital Adequacy - Total Capital (Value)</t>
  </si>
  <si>
    <t>Total Risk-Weighted Capital</t>
  </si>
  <si>
    <t>Capital Adequacy - Core Tier 1 Capital %</t>
  </si>
  <si>
    <t>Capital Adequacy - Tier 1 Capital %</t>
  </si>
  <si>
    <t>Capital Adequacy - Tier 2 Capital %</t>
  </si>
  <si>
    <t>Capital Adequacy - Tier 3 Capital %</t>
  </si>
  <si>
    <t>Capital Adequacy - Total Capital %</t>
  </si>
  <si>
    <t>Trading Account</t>
  </si>
  <si>
    <t>Credit Exposure</t>
  </si>
  <si>
    <t>Non-Performing Loans</t>
  </si>
  <si>
    <t>Assets under Management</t>
  </si>
  <si>
    <t>Loans - Stage 1 - Gross, Total</t>
  </si>
  <si>
    <t>Loans - Stage 2 - Gross, Total</t>
  </si>
  <si>
    <t>Loans - Stage 3 - Gross, Total</t>
  </si>
  <si>
    <t>Total Current Assets less Inventory</t>
  </si>
  <si>
    <t>Revolving Line of Credit - Outstanding</t>
  </si>
  <si>
    <t>Rvlvng Line of Credit - Principal Amount</t>
  </si>
  <si>
    <t>Rvlvng Line of Credit - Unused Amount</t>
  </si>
  <si>
    <t>Loans - Gross Non-Performing-As Reported</t>
  </si>
  <si>
    <t>Loans - Gross Non-Performing - As Rep -%</t>
  </si>
  <si>
    <t>Non-Perform Asst-Oth than Loans- As Rep</t>
  </si>
  <si>
    <t>Non-Performing Assets-Loans &amp; Oth-As Rep</t>
  </si>
  <si>
    <t>Net Debt Incl. Pref.Stock &amp; Min.Interest</t>
  </si>
  <si>
    <t>Tangible Book Value, Common Equity</t>
  </si>
  <si>
    <t>Reported Total Assets</t>
  </si>
  <si>
    <t>Reported Total Liabilities</t>
  </si>
  <si>
    <t>Shareholders' Equity Excl. Stock Subscr.</t>
  </si>
  <si>
    <t>Reported Shareholder's Equity</t>
  </si>
  <si>
    <t>Reported Net Assets</t>
  </si>
  <si>
    <t>Reported Net Assets to Total Assets</t>
  </si>
  <si>
    <t>Reported Return on Assets</t>
  </si>
  <si>
    <t>Reported Return on Equity</t>
  </si>
  <si>
    <t>Islamic Investments &amp; Deposits</t>
  </si>
  <si>
    <t>Islamic Receivables</t>
  </si>
  <si>
    <t>Islamic Debt</t>
  </si>
  <si>
    <t>Islamic Section, Supplemental</t>
  </si>
  <si>
    <t>Debt &amp; Lease, Pension Items (VND Millions)</t>
  </si>
  <si>
    <t>Total Long Term Debt, Supplemental</t>
  </si>
  <si>
    <t>Total Capital Leases, Supplemental</t>
  </si>
  <si>
    <t>Total Operating Leases, Supplemental</t>
  </si>
  <si>
    <t>Operating Lease Payments Due in Year 1</t>
  </si>
  <si>
    <t>Operating Lease Payments Due in Year 2</t>
  </si>
  <si>
    <t>Operating Lease Payments Due in Year 3</t>
  </si>
  <si>
    <t>Operating Lease Payments Due in Year 4</t>
  </si>
  <si>
    <t>Operating Lease Payments Due in Year 5</t>
  </si>
  <si>
    <t>Operating Lease Pymts. Due in 2-3 Years</t>
  </si>
  <si>
    <t>Operating Lease Pymts. Due in 4-5 Years</t>
  </si>
  <si>
    <t>Oper. Lse. Pymts. Due in Year 6 &amp; Beyond</t>
  </si>
  <si>
    <t>Operating Leases - Interest Cost</t>
  </si>
  <si>
    <t>Total Funded Status</t>
  </si>
  <si>
    <t>Period End Assumptions</t>
  </si>
  <si>
    <t>Net Assets Recognized on Balance Sheet</t>
  </si>
  <si>
    <t>Asset Allocation</t>
  </si>
  <si>
    <t>Total Plan Obligations</t>
  </si>
  <si>
    <t>Total Plan Assets</t>
  </si>
  <si>
    <t>FPT Digital Retail JSC | Income Statement                                11-Oct-2023 12:01</t>
  </si>
  <si>
    <t>Income Statement</t>
  </si>
  <si>
    <t>Revenue</t>
  </si>
  <si>
    <t>Gross Revenue</t>
  </si>
  <si>
    <t>Sales Returns and Allowances</t>
  </si>
  <si>
    <t>Other Revenue, Total</t>
  </si>
  <si>
    <t>Total Revenue</t>
  </si>
  <si>
    <t>Cost of Revenue, Total</t>
  </si>
  <si>
    <t>Gross Profit</t>
  </si>
  <si>
    <t>Selling/General/Admin. Expenses, Total</t>
  </si>
  <si>
    <t>Selling/General/Administrative Expense</t>
  </si>
  <si>
    <t>Labor &amp; Related Expense</t>
  </si>
  <si>
    <t>Advertising Expense</t>
  </si>
  <si>
    <t>Research &amp; Development</t>
  </si>
  <si>
    <t>Depreciation/Amortization</t>
  </si>
  <si>
    <t>Interest Expense, Net - Operating</t>
  </si>
  <si>
    <t>Interest Expense - Operating</t>
  </si>
  <si>
    <t>Interest/Investment Income - Operating</t>
  </si>
  <si>
    <t>Interest Income - Operating</t>
  </si>
  <si>
    <t>Investment Income - Operating</t>
  </si>
  <si>
    <t>Interest Expense(Income) - Net Operating</t>
  </si>
  <si>
    <t>Interest Exp.(Inc.),Net-Operating, Total</t>
  </si>
  <si>
    <t>Unusual Expense (Income)</t>
  </si>
  <si>
    <t>Other Operating Expenses, Total</t>
  </si>
  <si>
    <t>Other, Net</t>
  </si>
  <si>
    <t>Total Operating Expense</t>
  </si>
  <si>
    <t>Interest Expense, Net Non-Operating</t>
  </si>
  <si>
    <t>Interest/Invest Income - Non-Operating</t>
  </si>
  <si>
    <t>Interest Income(Exp), Net Non-Operating</t>
  </si>
  <si>
    <t>Interest Inc.(Exp.),Net-Non-Op., Total</t>
  </si>
  <si>
    <t>Gain (Loss) on Sale of Assets</t>
  </si>
  <si>
    <t>Other Non-Operating Income (Expense)</t>
  </si>
  <si>
    <t>Net Income Before Taxes</t>
  </si>
  <si>
    <t>Provision for Income Taxes</t>
  </si>
  <si>
    <t>Net Income After Taxes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</si>
  <si>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</si>
  <si>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</si>
  <si>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</si>
  <si>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</si>
  <si>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</si>
  <si>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</si>
  <si>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</si>
  <si>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</si>
  <si>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Net Income</t>
  </si>
  <si>
    <t>Preferred Dividends</t>
  </si>
  <si>
    <t>General Partners'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</si>
  <si>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</si>
  <si>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</si>
  <si>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</si>
  <si>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</si>
  <si>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</si>
  <si>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</si>
  <si>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</si>
  <si>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</si>
  <si>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</si>
  <si>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</si>
  <si>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</si>
  <si>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</si>
  <si>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</si>
  <si>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</si>
  <si>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t>DPS - Common Stock Primary Issue</t>
  </si>
  <si>
    <t>Dividends per Share - Com Stock Issue 2</t>
  </si>
  <si>
    <t>Dividends per Share - Com Stock Issue 3</t>
  </si>
  <si>
    <t>Dividends per Share - Com Stock Issue 4</t>
  </si>
  <si>
    <t>Special DPS - Common Stock Primary Issue</t>
  </si>
  <si>
    <t>Special DPS - Common Stock Issue 2</t>
  </si>
  <si>
    <t>Special DPS - Common Stock Issue 3</t>
  </si>
  <si>
    <t>Special DPS - Common Stock Issue 4</t>
  </si>
  <si>
    <t>Gross Dividends - Common Stock</t>
  </si>
  <si>
    <t>Pro Forma Stock Compensation Expense</t>
  </si>
  <si>
    <t>Net Income after Stock Based Comp. Exp.</t>
  </si>
  <si>
    <t>Basic EPS after Stock Based Comp. Exp.</t>
  </si>
  <si>
    <t>Diluted EPS after Stock Based Comp. Exp.</t>
  </si>
  <si>
    <t>(Gain) Loss on Sale of Assets, Suppl.</t>
  </si>
  <si>
    <t>Impairment-Assets Held for Sale, Suppl.</t>
  </si>
  <si>
    <t>Impairment-Assets Held for Use, Suppl.</t>
  </si>
  <si>
    <t>Litigation Charge, Supplemental</t>
  </si>
  <si>
    <t>Purchased R&amp;D Written-Off, Supplemental</t>
  </si>
  <si>
    <t>Restructuring Charge, Supplemental</t>
  </si>
  <si>
    <t>Other Unusual Expense(Income), Suppl.</t>
  </si>
  <si>
    <t>Non-Recurring Items, Supplemental, Total</t>
  </si>
  <si>
    <t>Total Special Items</t>
  </si>
  <si>
    <t>Normalized Income Before Taxes</t>
  </si>
  <si>
    <t>Effect of Special Items on Income Taxes</t>
  </si>
  <si>
    <t>Inc Tax Ex Impact of Sp Items</t>
  </si>
  <si>
    <t>Normalized Income After Taxes</t>
  </si>
  <si>
    <t>Normalized Inc. Avail to Com.</t>
  </si>
  <si>
    <t>Basic Normalized EPS</t>
  </si>
  <si>
    <t>Diluted Normalized EPS</t>
  </si>
  <si>
    <t>EPS, Supplemental</t>
  </si>
  <si>
    <t>Funds From Operations - REIT</t>
  </si>
  <si>
    <t>Amort of Acquisition Costs, Supplemental</t>
  </si>
  <si>
    <t>Amort of Intangibles, Supplemental</t>
  </si>
  <si>
    <t>Amort. of Right-of-Use Intang.Assets,Sup</t>
  </si>
  <si>
    <t>Depreciation, Supplemental</t>
  </si>
  <si>
    <t>Depreciation of Right-of-Use Assets,Sup.</t>
  </si>
  <si>
    <t>Interest Expense, Supplemental</t>
  </si>
  <si>
    <t>Interest Capitalized, Supplemental</t>
  </si>
  <si>
    <t>Interest Expense on Lease Liabs., Suppl.</t>
  </si>
  <si>
    <t>Interest Expense (Financial Oper), Suppl</t>
  </si>
  <si>
    <t>Net Revenues</t>
  </si>
  <si>
    <t>Rental Expense, Supplemental</t>
  </si>
  <si>
    <t>Labor &amp; Related Expense Suppl.</t>
  </si>
  <si>
    <t>Stock-Based Compensation, Supplemental</t>
  </si>
  <si>
    <t>Variable Lease Expense - Unclassified</t>
  </si>
  <si>
    <t>Variable Operating Lease Expenses</t>
  </si>
  <si>
    <t>Variable Financial Lease Expenses</t>
  </si>
  <si>
    <t>Short-Term Lease Cost</t>
  </si>
  <si>
    <t>Sublease Income</t>
  </si>
  <si>
    <t>Lease Expense -Total</t>
  </si>
  <si>
    <t>Advertising Expense, Supplemental</t>
  </si>
  <si>
    <t>Equity in Affiliates, Supplemental</t>
  </si>
  <si>
    <t>Minority Interest, Supplemental</t>
  </si>
  <si>
    <t>Income Taxes - Non-Recurring Tax Change</t>
  </si>
  <si>
    <t>Research &amp; Development Exp, Supplemental</t>
  </si>
  <si>
    <t>Audit Fees</t>
  </si>
  <si>
    <t>Audit-Related Fees</t>
  </si>
  <si>
    <t>Tax Fees</t>
  </si>
  <si>
    <t>All Other Fees</t>
  </si>
  <si>
    <t>Reported Recurring Revenue</t>
  </si>
  <si>
    <t>Reported Net Premiums Written</t>
  </si>
  <si>
    <t>Reported Total Revenue</t>
  </si>
  <si>
    <t>Reported Operating Revenue</t>
  </si>
  <si>
    <t>Reported Total Cost of Revenue</t>
  </si>
  <si>
    <t>Reported Total Sales, General &amp; Admin.</t>
  </si>
  <si>
    <t>Reported Gross Profit</t>
  </si>
  <si>
    <t>Reported Operating Profit</t>
  </si>
  <si>
    <t>Reported Operating Profit Margin</t>
  </si>
  <si>
    <t>Reported Ordinary Profit</t>
  </si>
  <si>
    <t>Reported Net Income After Tax</t>
  </si>
  <si>
    <t>Reported Basic EPS</t>
  </si>
  <si>
    <t>Reported Diluted EPS</t>
  </si>
  <si>
    <t>Reported Net Business Profits</t>
  </si>
  <si>
    <t>Islamic Income</t>
  </si>
  <si>
    <t>Zakat</t>
  </si>
  <si>
    <t>COVID-19 Non-Recurring Inc/Exp - Other</t>
  </si>
  <si>
    <t>COVID-19 One-time Provisions</t>
  </si>
  <si>
    <t>COVID-19 Restructuring Chrgs/Provisions</t>
  </si>
  <si>
    <t>COVID-19 Impairment of Long-Term Assets</t>
  </si>
  <si>
    <t>COVID-19 One-time Government Grants</t>
  </si>
  <si>
    <t>COVID-19 Inc Taxes - Non-Recurring</t>
  </si>
  <si>
    <t>Normalized EBIT</t>
  </si>
  <si>
    <t>Normalized EBITDA</t>
  </si>
  <si>
    <t>Tax &amp; Pension Items (VND Millions)</t>
  </si>
  <si>
    <t>Current Tax - Total</t>
  </si>
  <si>
    <t>Deferred Tax - Total</t>
  </si>
  <si>
    <t>Income Tax - Total</t>
  </si>
  <si>
    <t>Income Tax by Region - Total</t>
  </si>
  <si>
    <t>Domestic Pension Plan Expense</t>
  </si>
  <si>
    <t>Foreign Pension Plan Expense</t>
  </si>
  <si>
    <t>Post-Retirement Plan Expense</t>
  </si>
  <si>
    <t>Total Pension Expense</t>
  </si>
  <si>
    <t>Assumptions</t>
  </si>
  <si>
    <t>Total Plan Interest Cost</t>
  </si>
  <si>
    <t>Total Plan Service Cost</t>
  </si>
  <si>
    <t>Total Plan Expected Return</t>
  </si>
  <si>
    <t>Total Plan Other Expense</t>
  </si>
  <si>
    <t>Dividends and Capital Changes</t>
  </si>
  <si>
    <t>FPT Digital Retail Ord Shs</t>
  </si>
  <si>
    <t>Cash Dividend</t>
  </si>
  <si>
    <t>VND 504.10 F</t>
  </si>
  <si>
    <t>VND 579.71 F</t>
  </si>
  <si>
    <t>VND 0.00 F</t>
  </si>
  <si>
    <t>VND 434.78 F</t>
  </si>
  <si>
    <t>(31-Dec) Pd.End </t>
  </si>
  <si>
    <t>Stock Dividend</t>
  </si>
  <si>
    <t>15.00 F</t>
  </si>
  <si>
    <t>50.00 F</t>
  </si>
  <si>
    <t>Dividend</t>
  </si>
  <si>
    <t>VND 0.98</t>
  </si>
  <si>
    <t>VND 0.96</t>
  </si>
  <si>
    <t>VND 0.00</t>
  </si>
  <si>
    <t>(27-Jun)Eff. </t>
  </si>
  <si>
    <t>(18-Sep)Eff. </t>
  </si>
  <si>
    <t>(31-May)Eff. </t>
  </si>
  <si>
    <t>(22-Jun)Eff. </t>
  </si>
  <si>
    <t>(21-Aug) </t>
  </si>
  <si>
    <t>(05-Jul) </t>
  </si>
  <si>
    <t>Scrip Issue</t>
  </si>
  <si>
    <t>(13-Jun) </t>
  </si>
  <si>
    <t>Dividends &amp; Capital Changes After Dec-2022</t>
  </si>
  <si>
    <t>VND 0.99</t>
  </si>
  <si>
    <t>20 : 3 Adj. Factor 0.87x</t>
  </si>
  <si>
    <t>(28-Jun) </t>
  </si>
  <si>
    <t>FPT Digital Retail JSC | Ratios - Key Metrics                                11-Oct-2023 12:01</t>
  </si>
  <si>
    <t>Ratios - Key Metrics</t>
  </si>
  <si>
    <t>Industry Median</t>
  </si>
  <si>
    <t>N/A</t>
  </si>
  <si>
    <t>Retail</t>
  </si>
  <si>
    <t>Same Store Sales</t>
  </si>
  <si>
    <t>- </t>
  </si>
  <si>
    <t>-</t>
  </si>
  <si>
    <t>Inventory per Square Ft (VND)</t>
  </si>
  <si>
    <t>Net Sales per Retail Square Ft (VND)</t>
  </si>
  <si>
    <t>Operating Expense per Square Ft (VND)</t>
  </si>
  <si>
    <t># Stores</t>
  </si>
  <si>
    <t>Rent Exp as % Retail Sales</t>
  </si>
  <si>
    <t>Rent Exp per Square Ft (VND)</t>
  </si>
  <si>
    <t>Customer Visits</t>
  </si>
  <si>
    <t>Merchandise Margins</t>
  </si>
  <si>
    <t>Profitability</t>
  </si>
  <si>
    <t>Gross Margin</t>
  </si>
  <si>
    <t>22.7% </t>
  </si>
  <si>
    <t>EBITDA Margin</t>
  </si>
  <si>
    <t>12.4% </t>
  </si>
  <si>
    <t>Operating Margin</t>
  </si>
  <si>
    <t>8.2% </t>
  </si>
  <si>
    <t>Pretax Margin</t>
  </si>
  <si>
    <t>7.6% </t>
  </si>
  <si>
    <t>Effective Tax Rate</t>
  </si>
  <si>
    <t>20.3% </t>
  </si>
  <si>
    <t>Net Margin</t>
  </si>
  <si>
    <t>7.0% </t>
  </si>
  <si>
    <t>DuPont/Earning Power</t>
  </si>
  <si>
    <t>Asset Turnover</t>
  </si>
  <si>
    <t>1.44 </t>
  </si>
  <si>
    <t>x Pretax Margin</t>
  </si>
  <si>
    <t>Pretax ROA</t>
  </si>
  <si>
    <t>8.0% </t>
  </si>
  <si>
    <t>x Leverage (Assets/Equity)</t>
  </si>
  <si>
    <t>2.30 </t>
  </si>
  <si>
    <t>Pretax ROE</t>
  </si>
  <si>
    <t>17.8% </t>
  </si>
  <si>
    <t>x Tax Complement</t>
  </si>
  <si>
    <t>0.80 </t>
  </si>
  <si>
    <t>ROE</t>
  </si>
  <si>
    <t>13.7% </t>
  </si>
  <si>
    <t>x Earnings Retention</t>
  </si>
  <si>
    <t>Reinvestment Rate</t>
  </si>
  <si>
    <t>3.4% </t>
  </si>
  <si>
    <t>Liquidity</t>
  </si>
  <si>
    <t>Quick Ratio</t>
  </si>
  <si>
    <t>1.00 </t>
  </si>
  <si>
    <t>Current Ratio</t>
  </si>
  <si>
    <t>1.66 </t>
  </si>
  <si>
    <t>Times Interest Earned</t>
  </si>
  <si>
    <t>11.2 </t>
  </si>
  <si>
    <t>Cash Cycle (Days)</t>
  </si>
  <si>
    <t>71.0 </t>
  </si>
  <si>
    <t>Leverage</t>
  </si>
  <si>
    <t>Assets/Equity</t>
  </si>
  <si>
    <t>Debt/Equity</t>
  </si>
  <si>
    <t>0.32 </t>
  </si>
  <si>
    <t>% LT Debt to Total Capital</t>
  </si>
  <si>
    <t>(Total Debt - Cash) / EBITDA</t>
  </si>
  <si>
    <t>0.51 </t>
  </si>
  <si>
    <t>Operating</t>
  </si>
  <si>
    <t>A/R Turnover</t>
  </si>
  <si>
    <t>13.9 </t>
  </si>
  <si>
    <t>Avg. A/R Days</t>
  </si>
  <si>
    <t>26.6 </t>
  </si>
  <si>
    <t>Inv Turnover</t>
  </si>
  <si>
    <t>5.3 </t>
  </si>
  <si>
    <t>Avg. Inventory Days</t>
  </si>
  <si>
    <t>70.5 </t>
  </si>
  <si>
    <t>Avg. A/P Days</t>
  </si>
  <si>
    <t>38.6 </t>
  </si>
  <si>
    <t>Fixed Asset Turnover</t>
  </si>
  <si>
    <t>5.01 </t>
  </si>
  <si>
    <t>WC / Sales Growth</t>
  </si>
  <si>
    <t>(0.5%) </t>
  </si>
  <si>
    <t>Bad Debt Allowance (% of A/R)</t>
  </si>
  <si>
    <t>1.6% </t>
  </si>
  <si>
    <t>ROIC</t>
  </si>
  <si>
    <t>Revenue per Employee (VND)</t>
  </si>
  <si>
    <t>VND2,352,843,840.0</t>
  </si>
  <si>
    <t>VND2,646,541,746.5</t>
  </si>
  <si>
    <t>VND2,580,909,192.7</t>
  </si>
  <si>
    <t>VND2,042,406,774.7</t>
  </si>
  <si>
    <t>VND2,615,541,120.6</t>
  </si>
  <si>
    <t>VND2,360,483,646.2</t>
  </si>
  <si>
    <t>2023F</t>
  </si>
  <si>
    <t>2024F</t>
  </si>
  <si>
    <t>2025F</t>
  </si>
  <si>
    <t>2026F</t>
  </si>
  <si>
    <t>2027F</t>
  </si>
  <si>
    <t>2028F</t>
  </si>
  <si>
    <t>FY</t>
  </si>
  <si>
    <t>Depreciation Expense</t>
  </si>
  <si>
    <r>
      <t xml:space="preserve">Capital Expenditures </t>
    </r>
    <r>
      <rPr>
        <sz val="11"/>
        <color rgb="FFFF0000"/>
        <rFont val="Calibri"/>
        <family val="2"/>
        <scheme val="minor"/>
      </rPr>
      <t>(negative numbers in the statement means cash outflow)</t>
    </r>
  </si>
  <si>
    <r>
      <t xml:space="preserve">Change in Working Capital </t>
    </r>
    <r>
      <rPr>
        <sz val="11"/>
        <color rgb="FFFF0000"/>
        <rFont val="Calibri"/>
        <family val="2"/>
        <scheme val="minor"/>
      </rPr>
      <t>(negative numbers in the statement means cash outflow)</t>
    </r>
  </si>
  <si>
    <t>Net Borrowing</t>
  </si>
  <si>
    <t>FCFE</t>
  </si>
  <si>
    <t>VND (VND millions)</t>
  </si>
  <si>
    <t>Operating Income (EBIT)</t>
  </si>
  <si>
    <t xml:space="preserve">COGS </t>
  </si>
  <si>
    <t>Cost of Revenue (COGS)</t>
  </si>
  <si>
    <t xml:space="preserve">Total Revenue </t>
  </si>
  <si>
    <t xml:space="preserve">Historical </t>
  </si>
  <si>
    <t xml:space="preserve">Forecast </t>
  </si>
  <si>
    <t xml:space="preserve">%growth </t>
  </si>
  <si>
    <t>ICT</t>
  </si>
  <si>
    <t xml:space="preserve">Pharmacy </t>
  </si>
  <si>
    <t>FPT Revenue Breakdown (mil VND)</t>
  </si>
  <si>
    <t xml:space="preserve">%weight </t>
  </si>
  <si>
    <t>OPERATING RATIO &amp; ASSUMPTIONS</t>
  </si>
  <si>
    <t xml:space="preserve">D&amp;A Expense </t>
  </si>
  <si>
    <t>FCFE (FV)</t>
  </si>
  <si>
    <t xml:space="preserve">%store growth </t>
  </si>
  <si>
    <t>Other (F.studio)</t>
  </si>
  <si>
    <t xml:space="preserve">Rev per store </t>
  </si>
  <si>
    <t xml:space="preserve">Number of stores (x) </t>
  </si>
  <si>
    <t>Number of stores (x)</t>
  </si>
  <si>
    <t xml:space="preserve">Working Cap </t>
  </si>
  <si>
    <t xml:space="preserve">Changes in WC </t>
  </si>
  <si>
    <t xml:space="preserve">%/ Rev </t>
  </si>
  <si>
    <t xml:space="preserve">growth </t>
  </si>
  <si>
    <t>FPT shop inv</t>
  </si>
  <si>
    <t xml:space="preserve">FPT shop inv per store </t>
  </si>
  <si>
    <t>Long Chau shop inv</t>
  </si>
  <si>
    <t xml:space="preserve">Long Chau inv per store </t>
  </si>
  <si>
    <t>Total Current Assets (excluding cash)</t>
  </si>
  <si>
    <t xml:space="preserve">AR Growth </t>
  </si>
  <si>
    <t>Total Current Liabities (without debt)</t>
  </si>
  <si>
    <t xml:space="preserve">A/P Growth </t>
  </si>
  <si>
    <t>%growth</t>
  </si>
  <si>
    <t>%/rev</t>
  </si>
  <si>
    <t xml:space="preserve">ROE </t>
  </si>
  <si>
    <t>Changes in AP</t>
  </si>
  <si>
    <t xml:space="preserve">Total weight </t>
  </si>
  <si>
    <t xml:space="preserve">%/ sales change </t>
  </si>
  <si>
    <t xml:space="preserve">Total no. Of stores </t>
  </si>
  <si>
    <t xml:space="preserve">FPT Shop weight </t>
  </si>
  <si>
    <t>Long Chau weight</t>
  </si>
  <si>
    <t>FPT Shop</t>
  </si>
  <si>
    <t>Long Chau</t>
  </si>
  <si>
    <t>%/ sales change</t>
  </si>
  <si>
    <t>% sales change</t>
  </si>
  <si>
    <t xml:space="preserve">Long Chau </t>
  </si>
  <si>
    <t xml:space="preserve">PV terminal </t>
  </si>
  <si>
    <t>Step 1: Estimate your Future FCFE</t>
  </si>
  <si>
    <t>g</t>
  </si>
  <si>
    <t>DCF</t>
  </si>
  <si>
    <t>Intrinsic Value</t>
  </si>
  <si>
    <t>Market Value</t>
  </si>
  <si>
    <t xml:space="preserve">Intrinsic Value </t>
  </si>
  <si>
    <t>%rev</t>
  </si>
  <si>
    <t>Total Receivables (excl. note receivables)</t>
  </si>
  <si>
    <t xml:space="preserve">As 8 Dec 2023 </t>
  </si>
  <si>
    <t xml:space="preserve">Net profit margin </t>
  </si>
  <si>
    <t xml:space="preserve">weighted </t>
  </si>
  <si>
    <t>P/E</t>
  </si>
  <si>
    <t xml:space="preserve">FPT Retail </t>
  </si>
  <si>
    <t>Digiworld Corp</t>
  </si>
  <si>
    <t>Identifier (GRID_REPORT.RIC)</t>
  </si>
  <si>
    <t>Company Name</t>
  </si>
  <si>
    <t>GICS Sector Name</t>
  </si>
  <si>
    <t>Market Cap
(VND)</t>
  </si>
  <si>
    <t>P/E (Daily Time Series Ratio)</t>
  </si>
  <si>
    <t/>
  </si>
  <si>
    <t>P/E (Daily Time Series Ratio)
(0CY)</t>
  </si>
  <si>
    <t>FRT.HM</t>
  </si>
  <si>
    <t>FPT Digital Retail JSC</t>
  </si>
  <si>
    <t>Consumer Discretionary</t>
  </si>
  <si>
    <t>MWG.HM</t>
  </si>
  <si>
    <t>Mobile World Investment Corp</t>
  </si>
  <si>
    <t>DGW.HM</t>
  </si>
  <si>
    <t>Information Technology</t>
  </si>
  <si>
    <t>PET.HM</t>
  </si>
  <si>
    <t>PetroVietnam General Services Corp</t>
  </si>
  <si>
    <t>Industrials</t>
  </si>
  <si>
    <t>Peer Median</t>
  </si>
  <si>
    <t>1st Quartile</t>
  </si>
  <si>
    <t>3rd Quartile</t>
  </si>
  <si>
    <t>Specialty Retail</t>
  </si>
  <si>
    <t>Relative Valuation - in mn VND (Except for forecasted price)</t>
  </si>
  <si>
    <t>Profit before tax (F)</t>
  </si>
  <si>
    <t>Net income (F)</t>
  </si>
  <si>
    <t>total no. of shares outstanding (A)</t>
  </si>
  <si>
    <t>EPS (F)</t>
  </si>
  <si>
    <t>current P/E (average in the industry)</t>
  </si>
  <si>
    <t>Forecasted price (in VND)</t>
  </si>
  <si>
    <t>%/ rev</t>
  </si>
  <si>
    <t>Peer Mean</t>
  </si>
  <si>
    <t>Forward P/E</t>
  </si>
  <si>
    <t xml:space="preserve">Method </t>
  </si>
  <si>
    <t>Weight</t>
  </si>
  <si>
    <t xml:space="preserve">Forecasted Price </t>
  </si>
  <si>
    <t xml:space="preserve">FINAL PRICE </t>
  </si>
  <si>
    <t xml:space="preserve">Criteria for peers selection: 
- Retail in ICT - consumer electronics/Pharma 
- Listed
- Market Cap </t>
  </si>
  <si>
    <t>ROE (%)</t>
  </si>
  <si>
    <t xml:space="preserve">Dupont Analysis </t>
  </si>
  <si>
    <t xml:space="preserve">Consider EV/EBITDA </t>
  </si>
  <si>
    <t xml:space="preserve">not paying the cash out =&gt; bigger plan? </t>
  </si>
  <si>
    <t>High =&gt; why? =&gt; Solvency the highest =&gt; Be cautious in the future as the margin or retails is low while the leverage is high due to high multiplier</t>
  </si>
  <si>
    <t>below industry average</t>
  </si>
  <si>
    <t>high compared to industry median</t>
  </si>
  <si>
    <t xml:space="preserve">high debt </t>
  </si>
  <si>
    <t>expected =&gt; due to scaling and expanding long chau but not too hype due to the slow down in expansion of ICT</t>
  </si>
  <si>
    <t xml:space="preserve">FRT is trying to get money back </t>
  </si>
  <si>
    <t>low compared 
to 
industry median</t>
  </si>
  <si>
    <t>w</t>
  </si>
  <si>
    <t xml:space="preserve">%/rev </t>
  </si>
  <si>
    <t>Gross profit margin</t>
  </si>
  <si>
    <t xml:space="preserve">FPT Shop </t>
  </si>
  <si>
    <t xml:space="preserve">Country </t>
  </si>
  <si>
    <t xml:space="preserve">Vietnam </t>
  </si>
  <si>
    <t>Identifier</t>
  </si>
  <si>
    <t>Market Capitalization (VND)</t>
  </si>
  <si>
    <t xml:space="preserve">DGW </t>
  </si>
  <si>
    <t>MWG</t>
  </si>
  <si>
    <t>PET</t>
  </si>
  <si>
    <t>PROFITABILITY</t>
  </si>
  <si>
    <t>EFFICIENCY</t>
  </si>
  <si>
    <t xml:space="preserve">AR Turnover </t>
  </si>
  <si>
    <t xml:space="preserve">AP Turnover </t>
  </si>
  <si>
    <t xml:space="preserve">Inventory Turnover </t>
  </si>
  <si>
    <t xml:space="preserve">FRT </t>
  </si>
  <si>
    <t>FRT</t>
  </si>
  <si>
    <t>DGW</t>
  </si>
  <si>
    <t xml:space="preserve">LIQUIDITY AND SOLVENCY </t>
  </si>
  <si>
    <t xml:space="preserve">Current Ratio </t>
  </si>
  <si>
    <t>A/E</t>
  </si>
  <si>
    <t xml:space="preserve">D/E </t>
  </si>
  <si>
    <t xml:space="preserve">Interest Coverage Ratio </t>
  </si>
  <si>
    <t xml:space="preserve">Net Margin </t>
  </si>
  <si>
    <t xml:space="preserve">MWG </t>
  </si>
  <si>
    <t xml:space="preserve">tang profitability </t>
  </si>
  <si>
    <t xml:space="preserve">use assets more effectively </t>
  </si>
  <si>
    <t xml:space="preserve">slight adjust in capital stucture =&gt; reduce Assets </t>
  </si>
  <si>
    <t>Reduce Assets</t>
  </si>
  <si>
    <t xml:space="preserve">giam profitability </t>
  </si>
  <si>
    <t xml:space="preserve">use assets less effectively </t>
  </si>
  <si>
    <t xml:space="preserve">Increase leverage </t>
  </si>
  <si>
    <t xml:space="preserve">Decrease profitability </t>
  </si>
  <si>
    <t xml:space="preserve">increae leverage </t>
  </si>
  <si>
    <t xml:space="preserve">Peer Median </t>
  </si>
  <si>
    <t>%/sales growth</t>
  </si>
  <si>
    <t>PV 5 years @ 20,49%</t>
  </si>
  <si>
    <t xml:space="preserve">gdp </t>
  </si>
  <si>
    <t>infl</t>
  </si>
  <si>
    <t xml:space="preserve">pharma </t>
  </si>
  <si>
    <t xml:space="preserve">ict </t>
  </si>
  <si>
    <t xml:space="preserve">Revenue </t>
  </si>
  <si>
    <t>AP</t>
  </si>
  <si>
    <t>COGS</t>
  </si>
  <si>
    <t>SGA</t>
  </si>
  <si>
    <t xml:space="preserve">Quick Ratio </t>
  </si>
  <si>
    <t xml:space="preserve">Growth </t>
  </si>
  <si>
    <t>Revenue Growth</t>
  </si>
  <si>
    <t xml:space="preserve">PET </t>
  </si>
  <si>
    <t xml:space="preserve">Changes in Operational Cost </t>
  </si>
  <si>
    <t xml:space="preserve">Gross Margin </t>
  </si>
  <si>
    <t>OPM</t>
  </si>
  <si>
    <t>Gap current and quick</t>
  </si>
  <si>
    <t>Median</t>
  </si>
  <si>
    <t xml:space="preserve"> </t>
  </si>
  <si>
    <t xml:space="preserve">household </t>
  </si>
  <si>
    <t xml:space="preserve">Sensitivity Analysis </t>
  </si>
  <si>
    <t>Terminal Growth Rate (g)</t>
  </si>
  <si>
    <t>E(Ri)</t>
  </si>
  <si>
    <t xml:space="preserve">Discounted Cash Flow - FCFE Model </t>
  </si>
  <si>
    <t>Relative Multiples - P/E</t>
  </si>
  <si>
    <t xml:space="preserve">Target Price </t>
  </si>
  <si>
    <t xml:space="preserve">Final Target Price </t>
  </si>
  <si>
    <t xml:space="preserve">EPS </t>
  </si>
  <si>
    <t xml:space="preserve">Exhibit </t>
  </si>
  <si>
    <t>2020A</t>
  </si>
  <si>
    <t>2021A</t>
  </si>
  <si>
    <t>2022A</t>
  </si>
  <si>
    <t xml:space="preserve">2027F </t>
  </si>
  <si>
    <t xml:space="preserve">SUMMARY OF FINANCIALS </t>
  </si>
  <si>
    <t>mil VND</t>
  </si>
  <si>
    <t xml:space="preserve">Net margin </t>
  </si>
  <si>
    <t xml:space="preserve">EBIT </t>
  </si>
  <si>
    <t xml:space="preserve">Net income </t>
  </si>
  <si>
    <t>Inventory Turnover</t>
  </si>
  <si>
    <t>Debt-to-equity</t>
  </si>
  <si>
    <t>Market Snapshot</t>
  </si>
  <si>
    <t xml:space="preserve">Date </t>
  </si>
  <si>
    <t>Closing Price</t>
  </si>
  <si>
    <t>Market cap</t>
  </si>
  <si>
    <t>Shares Out.</t>
  </si>
  <si>
    <t>Free Float</t>
  </si>
  <si>
    <t>52-wk Low</t>
  </si>
  <si>
    <t xml:space="preserve">52-wk High </t>
  </si>
  <si>
    <t>Dec 8th, 2023</t>
  </si>
  <si>
    <t>101,800 VND</t>
  </si>
  <si>
    <t>136,24m</t>
  </si>
  <si>
    <t>52,640 VND</t>
  </si>
  <si>
    <t>20,78x</t>
  </si>
  <si>
    <t>2,865.19</t>
  </si>
  <si>
    <t>137,743bn VND</t>
  </si>
  <si>
    <t>106,900 VND</t>
  </si>
  <si>
    <t>Exchange Date</t>
  </si>
  <si>
    <t>VN Index</t>
  </si>
  <si>
    <t>VN Index returns</t>
  </si>
  <si>
    <t>FRT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</si>
  <si>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</si>
  <si>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</si>
  <si>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</si>
  <si>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</si>
  <si>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</si>
  <si>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</si>
  <si>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</si>
  <si>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</si>
  <si>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</si>
  <si>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</si>
  <si>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</si>
  <si>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</si>
  <si>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</si>
  <si>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</si>
  <si>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</si>
  <si>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</si>
  <si>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</si>
  <si>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</si>
  <si>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</si>
  <si>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</si>
  <si>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</si>
  <si>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</si>
  <si>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</si>
  <si>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</si>
  <si>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</si>
  <si>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 xml:space="preserve">Adjusted Beta </t>
  </si>
  <si>
    <t>Risk premium</t>
  </si>
  <si>
    <t>RF (%)</t>
  </si>
  <si>
    <t>10y gov bond</t>
  </si>
  <si>
    <t>Cost of Equity</t>
  </si>
  <si>
    <t>Exhibit</t>
  </si>
  <si>
    <t xml:space="preserve">Price movement </t>
  </si>
  <si>
    <t xml:space="preserve">Market snapshot </t>
  </si>
  <si>
    <t>FA summary</t>
  </si>
  <si>
    <t>Ownership structure</t>
  </si>
  <si>
    <t xml:space="preserve">Ownership Structure </t>
  </si>
  <si>
    <t xml:space="preserve">FPT Corporation </t>
  </si>
  <si>
    <t xml:space="preserve">CTBC Investment Co. Ltd </t>
  </si>
  <si>
    <t>46.54%</t>
  </si>
  <si>
    <t>5.12%</t>
  </si>
  <si>
    <t>Nguyen Bach Diep</t>
  </si>
  <si>
    <t>Principal Asset 
Management 
Co., Ltd</t>
  </si>
  <si>
    <t>Dragon Capital VietFund
 Management</t>
  </si>
  <si>
    <t>Yurie Asset Management 
Inc.</t>
  </si>
  <si>
    <t xml:space="preserve">Revenue Structure </t>
  </si>
  <si>
    <t>Distribution Channels</t>
  </si>
  <si>
    <t xml:space="preserve">Offline </t>
  </si>
  <si>
    <t xml:space="preserve">Online </t>
  </si>
  <si>
    <t>Revenue and growth</t>
  </si>
  <si>
    <t xml:space="preserve">Segmented revenue growth </t>
  </si>
  <si>
    <t xml:space="preserve">Gross Margin peers </t>
  </si>
  <si>
    <t>Peers Median</t>
  </si>
  <si>
    <t xml:space="preserve">Operating Margin </t>
  </si>
  <si>
    <t xml:space="preserve">Inventory Turnover vs COGS </t>
  </si>
  <si>
    <t xml:space="preserve">GDP Growth </t>
  </si>
  <si>
    <t xml:space="preserve">Computing and Telephony growth </t>
  </si>
  <si>
    <t xml:space="preserve">Computing </t>
  </si>
  <si>
    <t xml:space="preserve">Telephone </t>
  </si>
  <si>
    <t xml:space="preserve">OTC pharma </t>
  </si>
  <si>
    <t>Vietnam</t>
  </si>
  <si>
    <t xml:space="preserve">Vietnam customer brand loyalty </t>
  </si>
  <si>
    <t xml:space="preserve">India </t>
  </si>
  <si>
    <t>Indonesia</t>
  </si>
  <si>
    <t xml:space="preserve">China </t>
  </si>
  <si>
    <t xml:space="preserve">Australia </t>
  </si>
  <si>
    <t>South Korea</t>
  </si>
  <si>
    <t>Japan</t>
  </si>
  <si>
    <t xml:space="preserve">Engagement </t>
  </si>
  <si>
    <t xml:space="preserve">Pharmacity </t>
  </si>
  <si>
    <t>FPT Long Chau</t>
  </si>
  <si>
    <t>An Khang/ BHX</t>
  </si>
  <si>
    <t xml:space="preserve">Mobile App. 
Downloads </t>
  </si>
  <si>
    <t>Landing page 
visits</t>
  </si>
  <si>
    <t>Pharmacity</t>
  </si>
  <si>
    <t>An Khang Pharmacy</t>
  </si>
  <si>
    <t>Guardian</t>
  </si>
  <si>
    <t>Medicare</t>
  </si>
  <si>
    <t>SK Pharmacy</t>
  </si>
  <si>
    <t>ECO pharma</t>
  </si>
  <si>
    <t>Matsumoto Kiyoshi</t>
  </si>
  <si>
    <t xml:space="preserve">FPT Long Chau </t>
  </si>
  <si>
    <t xml:space="preserve">Tiktok </t>
  </si>
  <si>
    <t>771k Followers
44k Likes
9,8M no. of plays
0,72% follow growth</t>
  </si>
  <si>
    <t>104k Followers
21k Likes
2,1M no. of plays
19% follow growth</t>
  </si>
  <si>
    <t>95k Followers
125 Likes
18k no. of plays
0,42% follow growth</t>
  </si>
  <si>
    <t xml:space="preserve">Facebook </t>
  </si>
  <si>
    <t xml:space="preserve">2,6M Followers
2,6M Likes 
</t>
  </si>
  <si>
    <t xml:space="preserve">1M Followers
949K Likes 
</t>
  </si>
  <si>
    <t xml:space="preserve">3,9M Followers
3,8M Likes 
</t>
  </si>
  <si>
    <t xml:space="preserve">Numer of stores - Market share </t>
  </si>
  <si>
    <t>Interest expenses</t>
  </si>
  <si>
    <t xml:space="preserve">Inventory management </t>
  </si>
  <si>
    <t xml:space="preserve">ROA </t>
  </si>
  <si>
    <t xml:space="preserve">Inv. Turnover </t>
  </si>
  <si>
    <t>Avg. Inv. Days</t>
  </si>
  <si>
    <t xml:space="preserve">Inventry growth </t>
  </si>
  <si>
    <t xml:space="preserve">Purchase of Fixed Asset </t>
  </si>
  <si>
    <t xml:space="preserve">Gap between Quick and Current Ratio </t>
  </si>
  <si>
    <t xml:space="preserve">Industry 
Median </t>
  </si>
  <si>
    <t>Store growth</t>
  </si>
  <si>
    <t>Fpt shop</t>
  </si>
  <si>
    <t>SG&amp;A</t>
  </si>
  <si>
    <t>Capital expenditure</t>
  </si>
  <si>
    <t>Inventory</t>
  </si>
  <si>
    <t>A/R</t>
  </si>
  <si>
    <t xml:space="preserve">A/R days </t>
  </si>
  <si>
    <t>A/P</t>
  </si>
  <si>
    <t>s</t>
  </si>
  <si>
    <t xml:space="preserve">HOLD </t>
  </si>
  <si>
    <t xml:space="preserve">Income Statement </t>
  </si>
  <si>
    <t xml:space="preserve">Apple </t>
  </si>
  <si>
    <t xml:space="preserve">Laptop </t>
  </si>
  <si>
    <t xml:space="preserve">Household Appliances </t>
  </si>
  <si>
    <t xml:space="preserve">Others </t>
  </si>
  <si>
    <t>D/E</t>
  </si>
  <si>
    <t>Total Current Assets 
(excluding cash)</t>
  </si>
  <si>
    <t>Total Current Liabities
 (without debt)</t>
  </si>
  <si>
    <t>Net profit before tax</t>
  </si>
  <si>
    <t>Number of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</si>
</sst>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6" formatCode="&quot;₫&quot;#,##0_);[Red]\(&quot;₫&quot;#,##0\)"/>
    <numFmt numFmtId="8" formatCode="&quot;₫&quot;#,##0.00_);[Red]\(&quot;₫&quot;#,##0.00\)"/>
    <numFmt numFmtId="42" formatCode="_(&quot;₫&quot;* #,##0_);_(&quot;₫&quot;* \(#,##0\);_(&quot;₫&quot;* &quot;-&quot;_);_(@_)"/>
    <numFmt numFmtId="41" formatCode="_(* #,##0_);_(* \(#,##0\);_(* &quot;-&quot;_);_(@_)"/>
    <numFmt numFmtId="43" formatCode="_(* #,##0.00_);_(* \(#,##0.00\);_(* &quot;-&quot;??_);_(@_)"/>
    <numFmt numFmtId="164" formatCode="0.00%;[Red]\(0.00%\)"/>
    <numFmt numFmtId="165" formatCode="#,##0.0_);[Red]\(#,##0.0\)"/>
    <numFmt numFmtId="166" formatCode="#,##0._);[Red]\(#,##0.\)"/>
    <numFmt numFmtId="167" formatCode="0.0%;[Red]\(0.0%\)"/>
    <numFmt numFmtId="168" formatCode="_(* #,##0.00_);_(* \(#,##0.00\);_(* &quot;-&quot;_);_(@_)"/>
    <numFmt numFmtId="169" formatCode="_(&quot;$&quot;* #,##0.00_);_(&quot;$&quot;* \(#,##0.00\);_(&quot;$&quot;* &quot;-&quot;??_);_(@_)"/>
    <numFmt numFmtId="170" formatCode="_(&quot;$&quot;* #,##0.0000_);_(&quot;$&quot;* \(#,##0.0000\);_(&quot;$&quot;* &quot;-&quot;??_);_(@_)"/>
    <numFmt numFmtId="171" formatCode="0.0%"/>
    <numFmt numFmtId="172" formatCode="0.000%"/>
    <numFmt numFmtId="173" formatCode="0.0000%"/>
    <numFmt numFmtId="174" formatCode="0.00000%"/>
    <numFmt numFmtId="175" formatCode="0.000000%"/>
    <numFmt numFmtId="176" formatCode="0.0000000%"/>
    <numFmt numFmtId="177" formatCode="0.000"/>
    <numFmt numFmtId="178" formatCode="_(* #,##0.000_);_(* \(#,##0.000\);_(* &quot;-&quot;_);_(@_)"/>
    <numFmt numFmtId="179" formatCode="_(* #,##0.000_);_(* \(#,##0.000\);_(* &quot;-&quot;???_);_(@_)"/>
    <numFmt numFmtId="180" formatCode="#,##0.00000000000_);[Red]\(#,##0.00000000000\)"/>
    <numFmt numFmtId="181" formatCode="0.0"/>
    <numFmt numFmtId="182" formatCode="#,##0.0000_);[Red]\(#,##0.0000\)"/>
    <numFmt numFmtId="183" formatCode="_(* #,##0_);_(* \(#,##0\);_(* &quot;-&quot;???_);_(@_)"/>
    <numFmt numFmtId="184" formatCode="dd\-mmm\-yyyy"/>
    <numFmt numFmtId="185" formatCode="#,##0.00;\-#,##0.00;#,##0.00;&quot;--&quot;"/>
    <numFmt numFmtId="186" formatCode="#,##0;\-#,##0;#,##0;&quot;--&quot;"/>
    <numFmt numFmtId="187" formatCode="#,##0.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88888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0"/>
      <color rgb="FFDC0A0A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5" tint="-0.499984740745262"/>
      <name val="Calibri"/>
      <family val="2"/>
      <charset val="204"/>
      <scheme val="minor"/>
    </font>
    <font>
      <sz val="10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1312"/>
        <bgColor indexed="64"/>
      </patternFill>
    </fill>
    <fill>
      <patternFill patternType="solid">
        <fgColor rgb="FFE8A1A0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C8D7DE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7020"/>
        <bgColor indexed="64"/>
      </patternFill>
    </fill>
    <fill>
      <patternFill patternType="solid">
        <fgColor rgb="FF034EA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FB9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6FA"/>
        <bgColor rgb="FF000000"/>
      </patternFill>
    </fill>
    <fill>
      <patternFill patternType="solid">
        <fgColor rgb="FF034EA2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C1C1C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C1C1C1"/>
      </bottom>
      <diagonal/>
    </border>
    <border>
      <left/>
      <right style="medium">
        <color rgb="FFCCCCCC"/>
      </right>
      <top style="medium">
        <color rgb="FFC1C1C1"/>
      </top>
      <bottom style="medium">
        <color rgb="FFE5EBF4"/>
      </bottom>
      <diagonal/>
    </border>
    <border>
      <left/>
      <right/>
      <top style="medium">
        <color rgb="FFC1C1C1"/>
      </top>
      <bottom style="medium">
        <color rgb="FFE5EBF4"/>
      </bottom>
      <diagonal/>
    </border>
    <border>
      <left/>
      <right style="medium">
        <color rgb="FFCCCCCC"/>
      </right>
      <top style="medium">
        <color rgb="FFE5EBF4"/>
      </top>
      <bottom style="medium">
        <color rgb="FFE5EBF4"/>
      </bottom>
      <diagonal/>
    </border>
    <border>
      <left/>
      <right/>
      <top style="medium">
        <color rgb="FFE5EBF4"/>
      </top>
      <bottom style="medium">
        <color rgb="FFE5EBF4"/>
      </bottom>
      <diagonal/>
    </border>
    <border>
      <left/>
      <right/>
      <top/>
      <bottom style="medium">
        <color rgb="FFE5EBF4"/>
      </bottom>
      <diagonal/>
    </border>
    <border>
      <left/>
      <right style="medium">
        <color rgb="FFCCCCCC"/>
      </right>
      <top/>
      <bottom style="medium">
        <color rgb="FFE5EBF4"/>
      </bottom>
      <diagonal/>
    </border>
    <border>
      <left style="medium">
        <color rgb="FFCCCCCC"/>
      </left>
      <right/>
      <top style="medium">
        <color rgb="FFE5EBF4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76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16" fillId="34" borderId="11" xfId="0" applyFont="1" applyFill="1" applyBorder="1" applyAlignment="1">
      <alignment horizontal="left"/>
    </xf>
    <xf numFmtId="0" fontId="21" fillId="35" borderId="12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 vertical="top"/>
    </xf>
    <xf numFmtId="0" fontId="23" fillId="38" borderId="12" xfId="0" applyFont="1" applyFill="1" applyBorder="1" applyAlignment="1">
      <alignment horizontal="center" vertical="top"/>
    </xf>
    <xf numFmtId="0" fontId="19" fillId="34" borderId="13" xfId="0" applyFont="1" applyFill="1" applyBorder="1" applyAlignment="1">
      <alignment horizontal="right"/>
    </xf>
    <xf numFmtId="38" fontId="19" fillId="34" borderId="14" xfId="0" applyNumberFormat="1" applyFont="1" applyFill="1" applyBorder="1" applyAlignment="1">
      <alignment horizontal="right"/>
    </xf>
    <xf numFmtId="0" fontId="19" fillId="39" borderId="0" xfId="0" applyFont="1" applyFill="1" applyAlignment="1">
      <alignment horizontal="left"/>
    </xf>
    <xf numFmtId="0" fontId="19" fillId="0" borderId="13" xfId="0" applyFont="1" applyBorder="1" applyAlignment="1">
      <alignment horizontal="left"/>
    </xf>
    <xf numFmtId="38" fontId="19" fillId="0" borderId="14" xfId="0" applyNumberFormat="1" applyFont="1" applyBorder="1" applyAlignment="1">
      <alignment horizontal="right" wrapText="1"/>
    </xf>
    <xf numFmtId="0" fontId="19" fillId="40" borderId="13" xfId="0" applyFont="1" applyFill="1" applyBorder="1" applyAlignment="1">
      <alignment horizontal="left"/>
    </xf>
    <xf numFmtId="38" fontId="19" fillId="40" borderId="14" xfId="0" applyNumberFormat="1" applyFont="1" applyFill="1" applyBorder="1" applyAlignment="1">
      <alignment horizontal="right" wrapText="1"/>
    </xf>
    <xf numFmtId="0" fontId="19" fillId="41" borderId="13" xfId="0" applyFont="1" applyFill="1" applyBorder="1" applyAlignment="1">
      <alignment horizontal="left" indent="2"/>
    </xf>
    <xf numFmtId="38" fontId="19" fillId="34" borderId="14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left" wrapText="1"/>
    </xf>
    <xf numFmtId="0" fontId="19" fillId="0" borderId="0" xfId="0" applyFont="1" applyAlignment="1">
      <alignment wrapText="1"/>
    </xf>
    <xf numFmtId="164" fontId="19" fillId="0" borderId="14" xfId="0" applyNumberFormat="1" applyFont="1" applyBorder="1" applyAlignment="1">
      <alignment horizontal="right" wrapText="1"/>
    </xf>
    <xf numFmtId="40" fontId="19" fillId="0" borderId="14" xfId="0" applyNumberFormat="1" applyFont="1" applyBorder="1" applyAlignment="1">
      <alignment horizontal="right" wrapText="1"/>
    </xf>
    <xf numFmtId="0" fontId="0" fillId="39" borderId="0" xfId="0" applyFill="1" applyAlignment="1">
      <alignment horizontal="left" wrapText="1"/>
    </xf>
    <xf numFmtId="165" fontId="19" fillId="40" borderId="14" xfId="0" applyNumberFormat="1" applyFont="1" applyFill="1" applyBorder="1" applyAlignment="1">
      <alignment horizontal="right" wrapText="1"/>
    </xf>
    <xf numFmtId="0" fontId="19" fillId="41" borderId="13" xfId="0" applyFont="1" applyFill="1" applyBorder="1" applyAlignment="1">
      <alignment horizontal="left" wrapText="1" indent="2"/>
    </xf>
    <xf numFmtId="38" fontId="19" fillId="34" borderId="0" xfId="0" applyNumberFormat="1" applyFont="1" applyFill="1" applyAlignment="1">
      <alignment horizontal="right" wrapText="1"/>
    </xf>
    <xf numFmtId="0" fontId="19" fillId="39" borderId="0" xfId="0" applyFont="1" applyFill="1" applyAlignment="1">
      <alignment horizontal="left" wrapText="1"/>
    </xf>
    <xf numFmtId="0" fontId="19" fillId="41" borderId="14" xfId="0" applyFont="1" applyFill="1" applyBorder="1" applyAlignment="1">
      <alignment wrapText="1"/>
    </xf>
    <xf numFmtId="0" fontId="20" fillId="33" borderId="10" xfId="0" applyFont="1" applyFill="1" applyBorder="1" applyAlignment="1">
      <alignment horizontal="center"/>
    </xf>
    <xf numFmtId="0" fontId="25" fillId="42" borderId="12" xfId="0" applyFont="1" applyFill="1" applyBorder="1" applyAlignment="1">
      <alignment horizontal="center" vertical="top"/>
    </xf>
    <xf numFmtId="0" fontId="19" fillId="41" borderId="13" xfId="0" applyFont="1" applyFill="1" applyBorder="1"/>
    <xf numFmtId="0" fontId="19" fillId="41" borderId="14" xfId="0" applyFont="1" applyFill="1" applyBorder="1" applyAlignment="1">
      <alignment horizontal="right" wrapText="1"/>
    </xf>
    <xf numFmtId="0" fontId="19" fillId="35" borderId="13" xfId="0" applyFont="1" applyFill="1" applyBorder="1" applyAlignment="1">
      <alignment horizontal="left"/>
    </xf>
    <xf numFmtId="38" fontId="19" fillId="43" borderId="14" xfId="0" applyNumberFormat="1" applyFont="1" applyFill="1" applyBorder="1" applyAlignment="1">
      <alignment horizontal="right" wrapText="1"/>
    </xf>
    <xf numFmtId="164" fontId="19" fillId="0" borderId="14" xfId="0" applyNumberFormat="1" applyFont="1" applyBorder="1" applyAlignment="1">
      <alignment horizontal="right"/>
    </xf>
    <xf numFmtId="40" fontId="19" fillId="0" borderId="14" xfId="0" applyNumberFormat="1" applyFont="1" applyBorder="1" applyAlignment="1">
      <alignment horizontal="right"/>
    </xf>
    <xf numFmtId="166" fontId="19" fillId="0" borderId="14" xfId="0" applyNumberFormat="1" applyFont="1" applyBorder="1" applyAlignment="1">
      <alignment horizontal="right"/>
    </xf>
    <xf numFmtId="167" fontId="19" fillId="0" borderId="14" xfId="0" applyNumberFormat="1" applyFont="1" applyBorder="1" applyAlignment="1">
      <alignment horizontal="right"/>
    </xf>
    <xf numFmtId="165" fontId="19" fillId="0" borderId="14" xfId="0" applyNumberFormat="1" applyFont="1" applyBorder="1" applyAlignment="1">
      <alignment horizontal="right"/>
    </xf>
    <xf numFmtId="38" fontId="26" fillId="43" borderId="14" xfId="0" applyNumberFormat="1" applyFont="1" applyFill="1" applyBorder="1" applyAlignment="1">
      <alignment horizontal="right" wrapText="1"/>
    </xf>
    <xf numFmtId="0" fontId="20" fillId="44" borderId="10" xfId="0" applyFont="1" applyFill="1" applyBorder="1" applyAlignment="1">
      <alignment horizontal="right"/>
    </xf>
    <xf numFmtId="0" fontId="22" fillId="45" borderId="12" xfId="0" applyFont="1" applyFill="1" applyBorder="1" applyAlignment="1">
      <alignment horizontal="center" vertical="top"/>
    </xf>
    <xf numFmtId="0" fontId="21" fillId="45" borderId="12" xfId="0" applyFont="1" applyFill="1" applyBorder="1" applyAlignment="1">
      <alignment horizontal="center" vertical="top"/>
    </xf>
    <xf numFmtId="0" fontId="23" fillId="45" borderId="12" xfId="0" applyFont="1" applyFill="1" applyBorder="1" applyAlignment="1">
      <alignment horizontal="center" vertical="top"/>
    </xf>
    <xf numFmtId="0" fontId="29" fillId="46" borderId="10" xfId="0" applyFont="1" applyFill="1" applyBorder="1" applyAlignment="1">
      <alignment horizontal="center"/>
    </xf>
    <xf numFmtId="0" fontId="29" fillId="47" borderId="10" xfId="0" applyFont="1" applyFill="1" applyBorder="1" applyAlignment="1">
      <alignment horizontal="center"/>
    </xf>
    <xf numFmtId="0" fontId="28" fillId="47" borderId="13" xfId="0" applyFont="1" applyFill="1" applyBorder="1"/>
    <xf numFmtId="0" fontId="30" fillId="47" borderId="0" xfId="0" applyFont="1" applyFill="1" applyAlignment="1">
      <alignment horizontal="left"/>
    </xf>
    <xf numFmtId="0" fontId="30" fillId="47" borderId="14" xfId="0" applyFont="1" applyFill="1" applyBorder="1" applyAlignment="1">
      <alignment horizontal="right" wrapText="1"/>
    </xf>
    <xf numFmtId="0" fontId="30" fillId="47" borderId="13" xfId="0" applyFont="1" applyFill="1" applyBorder="1"/>
    <xf numFmtId="0" fontId="28" fillId="47" borderId="0" xfId="0" applyFont="1" applyFill="1" applyAlignment="1">
      <alignment horizontal="left"/>
    </xf>
    <xf numFmtId="0" fontId="28" fillId="47" borderId="14" xfId="0" applyFont="1" applyFill="1" applyBorder="1" applyAlignment="1">
      <alignment horizontal="right" wrapText="1"/>
    </xf>
    <xf numFmtId="0" fontId="19" fillId="48" borderId="13" xfId="0" applyFont="1" applyFill="1" applyBorder="1" applyAlignment="1">
      <alignment horizontal="left"/>
    </xf>
    <xf numFmtId="38" fontId="19" fillId="48" borderId="14" xfId="0" applyNumberFormat="1" applyFont="1" applyFill="1" applyBorder="1" applyAlignment="1">
      <alignment horizontal="right" wrapText="1"/>
    </xf>
    <xf numFmtId="0" fontId="0" fillId="48" borderId="0" xfId="0" applyFill="1"/>
    <xf numFmtId="0" fontId="19" fillId="48" borderId="0" xfId="0" applyFont="1" applyFill="1"/>
    <xf numFmtId="0" fontId="19" fillId="48" borderId="20" xfId="0" applyFont="1" applyFill="1" applyBorder="1" applyAlignment="1">
      <alignment horizontal="left"/>
    </xf>
    <xf numFmtId="0" fontId="19" fillId="48" borderId="19" xfId="0" applyFont="1" applyFill="1" applyBorder="1" applyAlignment="1">
      <alignment horizontal="left"/>
    </xf>
    <xf numFmtId="0" fontId="19" fillId="48" borderId="14" xfId="0" applyFont="1" applyFill="1" applyBorder="1" applyAlignment="1">
      <alignment horizontal="left" wrapText="1"/>
    </xf>
    <xf numFmtId="3" fontId="19" fillId="48" borderId="14" xfId="0" applyNumberFormat="1" applyFont="1" applyFill="1" applyBorder="1" applyAlignment="1">
      <alignment horizontal="right" wrapText="1"/>
    </xf>
    <xf numFmtId="40" fontId="19" fillId="48" borderId="14" xfId="0" applyNumberFormat="1" applyFont="1" applyFill="1" applyBorder="1" applyAlignment="1">
      <alignment horizontal="right"/>
    </xf>
    <xf numFmtId="0" fontId="19" fillId="48" borderId="0" xfId="0" applyFont="1" applyFill="1" applyAlignment="1">
      <alignment horizontal="left"/>
    </xf>
    <xf numFmtId="38" fontId="0" fillId="0" borderId="0" xfId="0" applyNumberFormat="1"/>
    <xf numFmtId="0" fontId="19" fillId="48" borderId="20" xfId="0" applyFont="1" applyFill="1" applyBorder="1" applyAlignment="1">
      <alignment horizontal="left" indent="2"/>
    </xf>
    <xf numFmtId="0" fontId="19" fillId="48" borderId="19" xfId="0" applyFont="1" applyFill="1" applyBorder="1" applyAlignment="1">
      <alignment horizontal="left" indent="2"/>
    </xf>
    <xf numFmtId="0" fontId="19" fillId="48" borderId="20" xfId="0" applyFont="1" applyFill="1" applyBorder="1" applyAlignment="1">
      <alignment horizontal="left" wrapText="1"/>
    </xf>
    <xf numFmtId="9" fontId="0" fillId="0" borderId="0" xfId="42" applyFont="1"/>
    <xf numFmtId="10" fontId="0" fillId="0" borderId="0" xfId="42" applyNumberFormat="1" applyFont="1"/>
    <xf numFmtId="40" fontId="0" fillId="0" borderId="0" xfId="0" applyNumberFormat="1"/>
    <xf numFmtId="0" fontId="38" fillId="0" borderId="14" xfId="0" applyFont="1" applyBorder="1" applyAlignment="1">
      <alignment horizontal="right" wrapText="1"/>
    </xf>
    <xf numFmtId="38" fontId="19" fillId="0" borderId="14" xfId="0" applyNumberFormat="1" applyFont="1" applyBorder="1" applyAlignment="1">
      <alignment horizontal="left" wrapText="1"/>
    </xf>
    <xf numFmtId="38" fontId="38" fillId="0" borderId="14" xfId="0" applyNumberFormat="1" applyFont="1" applyBorder="1" applyAlignment="1">
      <alignment horizontal="right" wrapText="1"/>
    </xf>
    <xf numFmtId="38" fontId="39" fillId="0" borderId="14" xfId="0" applyNumberFormat="1" applyFont="1" applyBorder="1" applyAlignment="1">
      <alignment horizontal="right" wrapText="1"/>
    </xf>
    <xf numFmtId="0" fontId="39" fillId="0" borderId="14" xfId="0" applyFont="1" applyBorder="1" applyAlignment="1">
      <alignment horizontal="right" wrapText="1"/>
    </xf>
    <xf numFmtId="0" fontId="20" fillId="0" borderId="14" xfId="0" applyFont="1" applyBorder="1" applyAlignment="1">
      <alignment horizontal="left" wrapText="1"/>
    </xf>
    <xf numFmtId="0" fontId="36" fillId="0" borderId="0" xfId="0" applyFont="1"/>
    <xf numFmtId="0" fontId="39" fillId="0" borderId="14" xfId="0" applyFont="1" applyBorder="1" applyAlignment="1">
      <alignment horizontal="left" wrapText="1"/>
    </xf>
    <xf numFmtId="0" fontId="40" fillId="0" borderId="0" xfId="0" applyFont="1"/>
    <xf numFmtId="0" fontId="40" fillId="0" borderId="0" xfId="0" applyFont="1" applyAlignment="1">
      <alignment horizontal="right"/>
    </xf>
    <xf numFmtId="3" fontId="40" fillId="0" borderId="0" xfId="42" applyNumberFormat="1" applyFont="1"/>
    <xf numFmtId="171" fontId="39" fillId="0" borderId="14" xfId="42" applyNumberFormat="1" applyFont="1" applyBorder="1" applyAlignment="1">
      <alignment horizontal="right" wrapText="1"/>
    </xf>
    <xf numFmtId="171" fontId="19" fillId="0" borderId="0" xfId="0" applyNumberFormat="1" applyFont="1" applyAlignment="1">
      <alignment horizontal="left" wrapText="1"/>
    </xf>
    <xf numFmtId="0" fontId="19" fillId="48" borderId="14" xfId="0" applyFont="1" applyFill="1" applyBorder="1" applyAlignment="1">
      <alignment horizontal="left"/>
    </xf>
    <xf numFmtId="9" fontId="20" fillId="0" borderId="14" xfId="42" applyFont="1" applyBorder="1" applyAlignment="1">
      <alignment horizontal="right" wrapText="1"/>
    </xf>
    <xf numFmtId="0" fontId="38" fillId="0" borderId="13" xfId="0" applyFont="1" applyBorder="1" applyAlignment="1">
      <alignment horizontal="left"/>
    </xf>
    <xf numFmtId="38" fontId="38" fillId="34" borderId="14" xfId="0" applyNumberFormat="1" applyFont="1" applyFill="1" applyBorder="1" applyAlignment="1">
      <alignment horizontal="right" wrapText="1"/>
    </xf>
    <xf numFmtId="0" fontId="38" fillId="40" borderId="13" xfId="0" applyFont="1" applyFill="1" applyBorder="1" applyAlignment="1">
      <alignment horizontal="left"/>
    </xf>
    <xf numFmtId="0" fontId="38" fillId="40" borderId="13" xfId="0" applyFont="1" applyFill="1" applyBorder="1" applyAlignment="1">
      <alignment horizontal="right"/>
    </xf>
    <xf numFmtId="9" fontId="19" fillId="40" borderId="14" xfId="42" applyFont="1" applyFill="1" applyBorder="1" applyAlignment="1">
      <alignment horizontal="right" wrapText="1"/>
    </xf>
    <xf numFmtId="10" fontId="19" fillId="40" borderId="14" xfId="42" applyNumberFormat="1" applyFont="1" applyFill="1" applyBorder="1" applyAlignment="1">
      <alignment horizontal="right" wrapText="1"/>
    </xf>
    <xf numFmtId="10" fontId="38" fillId="40" borderId="14" xfId="42" applyNumberFormat="1" applyFont="1" applyFill="1" applyBorder="1" applyAlignment="1">
      <alignment horizontal="right" wrapText="1"/>
    </xf>
    <xf numFmtId="0" fontId="39" fillId="40" borderId="13" xfId="0" applyFont="1" applyFill="1" applyBorder="1" applyAlignment="1">
      <alignment horizontal="right"/>
    </xf>
    <xf numFmtId="0" fontId="38" fillId="49" borderId="13" xfId="0" applyFont="1" applyFill="1" applyBorder="1" applyAlignment="1">
      <alignment horizontal="right"/>
    </xf>
    <xf numFmtId="38" fontId="19" fillId="49" borderId="14" xfId="0" applyNumberFormat="1" applyFont="1" applyFill="1" applyBorder="1" applyAlignment="1">
      <alignment horizontal="right" wrapText="1"/>
    </xf>
    <xf numFmtId="0" fontId="0" fillId="49" borderId="0" xfId="0" applyFill="1"/>
    <xf numFmtId="0" fontId="20" fillId="48" borderId="13" xfId="0" applyFont="1" applyFill="1" applyBorder="1" applyAlignment="1">
      <alignment horizontal="left"/>
    </xf>
    <xf numFmtId="38" fontId="20" fillId="48" borderId="14" xfId="0" applyNumberFormat="1" applyFont="1" applyFill="1" applyBorder="1" applyAlignment="1">
      <alignment horizontal="right" wrapText="1"/>
    </xf>
    <xf numFmtId="0" fontId="16" fillId="48" borderId="0" xfId="0" applyFont="1" applyFill="1"/>
    <xf numFmtId="38" fontId="34" fillId="50" borderId="14" xfId="0" applyNumberFormat="1" applyFont="1" applyFill="1" applyBorder="1" applyAlignment="1">
      <alignment horizontal="right" wrapText="1"/>
    </xf>
    <xf numFmtId="9" fontId="19" fillId="0" borderId="14" xfId="42" applyFont="1" applyBorder="1" applyAlignment="1">
      <alignment horizontal="right" wrapText="1"/>
    </xf>
    <xf numFmtId="9" fontId="19" fillId="34" borderId="14" xfId="42" applyFont="1" applyFill="1" applyBorder="1" applyAlignment="1">
      <alignment horizontal="right" wrapText="1"/>
    </xf>
    <xf numFmtId="10" fontId="19" fillId="34" borderId="14" xfId="42" applyNumberFormat="1" applyFont="1" applyFill="1" applyBorder="1" applyAlignment="1">
      <alignment horizontal="right" wrapText="1"/>
    </xf>
    <xf numFmtId="171" fontId="35" fillId="50" borderId="14" xfId="42" applyNumberFormat="1" applyFont="1" applyFill="1" applyBorder="1" applyAlignment="1">
      <alignment horizontal="right" wrapText="1"/>
    </xf>
    <xf numFmtId="174" fontId="19" fillId="0" borderId="14" xfId="42" applyNumberFormat="1" applyFont="1" applyBorder="1" applyAlignment="1">
      <alignment horizontal="left" wrapText="1"/>
    </xf>
    <xf numFmtId="0" fontId="38" fillId="0" borderId="13" xfId="0" applyFont="1" applyBorder="1" applyAlignment="1">
      <alignment horizontal="right"/>
    </xf>
    <xf numFmtId="10" fontId="19" fillId="0" borderId="14" xfId="42" applyNumberFormat="1" applyFont="1" applyFill="1" applyBorder="1" applyAlignment="1">
      <alignment horizontal="right" wrapText="1"/>
    </xf>
    <xf numFmtId="9" fontId="38" fillId="0" borderId="14" xfId="42" applyFont="1" applyFill="1" applyBorder="1" applyAlignment="1">
      <alignment horizontal="right" wrapText="1"/>
    </xf>
    <xf numFmtId="10" fontId="38" fillId="0" borderId="14" xfId="42" applyNumberFormat="1" applyFont="1" applyFill="1" applyBorder="1" applyAlignment="1">
      <alignment horizontal="right" wrapText="1"/>
    </xf>
    <xf numFmtId="1" fontId="19" fillId="0" borderId="14" xfId="42" applyNumberFormat="1" applyFont="1" applyBorder="1" applyAlignment="1">
      <alignment horizontal="left" wrapText="1"/>
    </xf>
    <xf numFmtId="38" fontId="19" fillId="39" borderId="0" xfId="0" applyNumberFormat="1" applyFont="1" applyFill="1" applyAlignment="1">
      <alignment horizontal="left"/>
    </xf>
    <xf numFmtId="38" fontId="19" fillId="48" borderId="0" xfId="0" applyNumberFormat="1" applyFont="1" applyFill="1" applyAlignment="1">
      <alignment horizontal="left"/>
    </xf>
    <xf numFmtId="0" fontId="38" fillId="48" borderId="13" xfId="0" applyFont="1" applyFill="1" applyBorder="1" applyAlignment="1">
      <alignment horizontal="right"/>
    </xf>
    <xf numFmtId="9" fontId="19" fillId="48" borderId="14" xfId="42" applyFont="1" applyFill="1" applyBorder="1" applyAlignment="1">
      <alignment horizontal="right" wrapText="1"/>
    </xf>
    <xf numFmtId="171" fontId="19" fillId="48" borderId="14" xfId="42" applyNumberFormat="1" applyFont="1" applyFill="1" applyBorder="1" applyAlignment="1">
      <alignment horizontal="right" wrapText="1"/>
    </xf>
    <xf numFmtId="10" fontId="19" fillId="48" borderId="14" xfId="42" applyNumberFormat="1" applyFont="1" applyFill="1" applyBorder="1" applyAlignment="1">
      <alignment horizontal="right" wrapText="1"/>
    </xf>
    <xf numFmtId="172" fontId="19" fillId="48" borderId="14" xfId="42" applyNumberFormat="1" applyFont="1" applyFill="1" applyBorder="1" applyAlignment="1">
      <alignment horizontal="right" wrapText="1"/>
    </xf>
    <xf numFmtId="173" fontId="19" fillId="48" borderId="14" xfId="42" applyNumberFormat="1" applyFont="1" applyFill="1" applyBorder="1" applyAlignment="1">
      <alignment horizontal="right" wrapText="1"/>
    </xf>
    <xf numFmtId="174" fontId="19" fillId="48" borderId="14" xfId="42" applyNumberFormat="1" applyFont="1" applyFill="1" applyBorder="1" applyAlignment="1">
      <alignment horizontal="right" wrapText="1"/>
    </xf>
    <xf numFmtId="175" fontId="19" fillId="48" borderId="14" xfId="42" applyNumberFormat="1" applyFont="1" applyFill="1" applyBorder="1" applyAlignment="1">
      <alignment horizontal="right" wrapText="1"/>
    </xf>
    <xf numFmtId="176" fontId="19" fillId="48" borderId="14" xfId="42" applyNumberFormat="1" applyFont="1" applyFill="1" applyBorder="1" applyAlignment="1">
      <alignment horizontal="right" wrapText="1"/>
    </xf>
    <xf numFmtId="38" fontId="19" fillId="48" borderId="14" xfId="42" applyNumberFormat="1" applyFont="1" applyFill="1" applyBorder="1" applyAlignment="1">
      <alignment horizontal="right" wrapText="1"/>
    </xf>
    <xf numFmtId="165" fontId="19" fillId="48" borderId="14" xfId="42" applyNumberFormat="1" applyFont="1" applyFill="1" applyBorder="1" applyAlignment="1">
      <alignment horizontal="right" wrapText="1"/>
    </xf>
    <xf numFmtId="0" fontId="19" fillId="48" borderId="13" xfId="0" applyFont="1" applyFill="1" applyBorder="1" applyAlignment="1">
      <alignment horizontal="left" indent="2"/>
    </xf>
    <xf numFmtId="0" fontId="38" fillId="48" borderId="13" xfId="0" applyFont="1" applyFill="1" applyBorder="1" applyAlignment="1">
      <alignment horizontal="right" indent="2"/>
    </xf>
    <xf numFmtId="10" fontId="0" fillId="48" borderId="0" xfId="0" applyNumberFormat="1" applyFill="1"/>
    <xf numFmtId="38" fontId="0" fillId="48" borderId="0" xfId="0" applyNumberFormat="1" applyFill="1"/>
    <xf numFmtId="0" fontId="38" fillId="41" borderId="13" xfId="0" applyFont="1" applyFill="1" applyBorder="1" applyAlignment="1">
      <alignment horizontal="right" indent="2"/>
    </xf>
    <xf numFmtId="9" fontId="19" fillId="49" borderId="14" xfId="42" applyFont="1" applyFill="1" applyBorder="1" applyAlignment="1">
      <alignment horizontal="right" wrapText="1"/>
    </xf>
    <xf numFmtId="10" fontId="19" fillId="49" borderId="14" xfId="42" applyNumberFormat="1" applyFont="1" applyFill="1" applyBorder="1" applyAlignment="1">
      <alignment horizontal="right" wrapText="1"/>
    </xf>
    <xf numFmtId="0" fontId="38" fillId="48" borderId="19" xfId="0" applyFont="1" applyFill="1" applyBorder="1" applyAlignment="1">
      <alignment horizontal="right"/>
    </xf>
    <xf numFmtId="38" fontId="41" fillId="51" borderId="14" xfId="0" applyNumberFormat="1" applyFont="1" applyFill="1" applyBorder="1" applyAlignment="1">
      <alignment horizontal="right" wrapText="1"/>
    </xf>
    <xf numFmtId="9" fontId="0" fillId="0" borderId="0" xfId="0" applyNumberFormat="1"/>
    <xf numFmtId="9" fontId="41" fillId="51" borderId="14" xfId="0" applyNumberFormat="1" applyFont="1" applyFill="1" applyBorder="1" applyAlignment="1">
      <alignment horizontal="right" wrapText="1"/>
    </xf>
    <xf numFmtId="0" fontId="0" fillId="0" borderId="26" xfId="0" applyBorder="1"/>
    <xf numFmtId="40" fontId="19" fillId="48" borderId="14" xfId="42" applyNumberFormat="1" applyFont="1" applyFill="1" applyBorder="1" applyAlignment="1">
      <alignment horizontal="right" wrapText="1"/>
    </xf>
    <xf numFmtId="38" fontId="38" fillId="40" borderId="14" xfId="0" applyNumberFormat="1" applyFont="1" applyFill="1" applyBorder="1" applyAlignment="1">
      <alignment horizontal="right" wrapText="1"/>
    </xf>
    <xf numFmtId="9" fontId="38" fillId="40" borderId="14" xfId="42" applyFont="1" applyFill="1" applyBorder="1" applyAlignment="1">
      <alignment horizontal="right" wrapText="1"/>
    </xf>
    <xf numFmtId="9" fontId="38" fillId="34" borderId="14" xfId="42" applyFont="1" applyFill="1" applyBorder="1" applyAlignment="1">
      <alignment horizontal="right" wrapText="1"/>
    </xf>
    <xf numFmtId="38" fontId="38" fillId="34" borderId="0" xfId="0" applyNumberFormat="1" applyFont="1" applyFill="1" applyAlignment="1">
      <alignment horizontal="right" wrapText="1"/>
    </xf>
    <xf numFmtId="0" fontId="36" fillId="0" borderId="0" xfId="0" applyFont="1" applyAlignment="1">
      <alignment horizontal="right"/>
    </xf>
    <xf numFmtId="9" fontId="19" fillId="0" borderId="14" xfId="0" applyNumberFormat="1" applyFont="1" applyBorder="1" applyAlignment="1">
      <alignment horizontal="right" wrapText="1"/>
    </xf>
    <xf numFmtId="0" fontId="42" fillId="0" borderId="0" xfId="0" applyFont="1"/>
    <xf numFmtId="0" fontId="44" fillId="0" borderId="0" xfId="0" applyFont="1"/>
    <xf numFmtId="3" fontId="44" fillId="0" borderId="0" xfId="0" applyNumberFormat="1" applyFont="1"/>
    <xf numFmtId="0" fontId="47" fillId="48" borderId="19" xfId="0" applyFont="1" applyFill="1" applyBorder="1" applyAlignment="1">
      <alignment horizontal="right"/>
    </xf>
    <xf numFmtId="40" fontId="19" fillId="48" borderId="14" xfId="0" applyNumberFormat="1" applyFont="1" applyFill="1" applyBorder="1" applyAlignment="1">
      <alignment horizontal="right" wrapText="1"/>
    </xf>
    <xf numFmtId="10" fontId="0" fillId="0" borderId="0" xfId="0" applyNumberFormat="1"/>
    <xf numFmtId="171" fontId="19" fillId="48" borderId="0" xfId="0" applyNumberFormat="1" applyFont="1" applyFill="1" applyAlignment="1">
      <alignment horizontal="right" wrapText="1"/>
    </xf>
    <xf numFmtId="40" fontId="19" fillId="43" borderId="14" xfId="0" applyNumberFormat="1" applyFont="1" applyFill="1" applyBorder="1" applyAlignment="1">
      <alignment horizontal="right" wrapText="1"/>
    </xf>
    <xf numFmtId="40" fontId="0" fillId="48" borderId="0" xfId="0" applyNumberFormat="1" applyFill="1"/>
    <xf numFmtId="10" fontId="41" fillId="51" borderId="14" xfId="0" applyNumberFormat="1" applyFont="1" applyFill="1" applyBorder="1" applyAlignment="1">
      <alignment horizontal="right" wrapText="1"/>
    </xf>
    <xf numFmtId="0" fontId="49" fillId="48" borderId="20" xfId="0" applyFont="1" applyFill="1" applyBorder="1" applyAlignment="1">
      <alignment horizontal="left" wrapText="1"/>
    </xf>
    <xf numFmtId="0" fontId="49" fillId="48" borderId="14" xfId="0" applyFont="1" applyFill="1" applyBorder="1" applyAlignment="1">
      <alignment horizontal="left" wrapText="1"/>
    </xf>
    <xf numFmtId="9" fontId="49" fillId="48" borderId="14" xfId="42" applyFont="1" applyFill="1" applyBorder="1" applyAlignment="1">
      <alignment horizontal="right" wrapText="1"/>
    </xf>
    <xf numFmtId="10" fontId="49" fillId="48" borderId="14" xfId="42" applyNumberFormat="1" applyFont="1" applyFill="1" applyBorder="1" applyAlignment="1">
      <alignment horizontal="right" wrapText="1"/>
    </xf>
    <xf numFmtId="0" fontId="14" fillId="48" borderId="0" xfId="0" applyFont="1" applyFill="1"/>
    <xf numFmtId="0" fontId="45" fillId="0" borderId="26" xfId="0" applyFont="1" applyBorder="1"/>
    <xf numFmtId="3" fontId="45" fillId="0" borderId="26" xfId="0" applyNumberFormat="1" applyFont="1" applyBorder="1"/>
    <xf numFmtId="0" fontId="0" fillId="57" borderId="0" xfId="0" applyFill="1"/>
    <xf numFmtId="0" fontId="41" fillId="56" borderId="26" xfId="0" applyFont="1" applyFill="1" applyBorder="1" applyAlignment="1">
      <alignment horizontal="left"/>
    </xf>
    <xf numFmtId="1" fontId="45" fillId="0" borderId="26" xfId="43" applyNumberFormat="1" applyFont="1" applyFill="1" applyBorder="1"/>
    <xf numFmtId="167" fontId="41" fillId="0" borderId="26" xfId="0" applyNumberFormat="1" applyFont="1" applyBorder="1" applyAlignment="1">
      <alignment horizontal="right"/>
    </xf>
    <xf numFmtId="167" fontId="19" fillId="0" borderId="26" xfId="0" applyNumberFormat="1" applyFont="1" applyBorder="1" applyAlignment="1">
      <alignment horizontal="right"/>
    </xf>
    <xf numFmtId="0" fontId="19" fillId="35" borderId="26" xfId="0" applyFont="1" applyFill="1" applyBorder="1" applyAlignment="1">
      <alignment horizontal="left"/>
    </xf>
    <xf numFmtId="181" fontId="19" fillId="0" borderId="26" xfId="0" applyNumberFormat="1" applyFont="1" applyBorder="1" applyAlignment="1">
      <alignment horizontal="right"/>
    </xf>
    <xf numFmtId="181" fontId="41" fillId="56" borderId="26" xfId="0" applyNumberFormat="1" applyFont="1" applyFill="1" applyBorder="1" applyAlignment="1">
      <alignment horizontal="left"/>
    </xf>
    <xf numFmtId="181" fontId="41" fillId="0" borderId="26" xfId="0" applyNumberFormat="1" applyFont="1" applyBorder="1" applyAlignment="1">
      <alignment horizontal="right"/>
    </xf>
    <xf numFmtId="181" fontId="0" fillId="0" borderId="0" xfId="0" applyNumberFormat="1"/>
    <xf numFmtId="165" fontId="19" fillId="0" borderId="26" xfId="0" applyNumberFormat="1" applyFont="1" applyBorder="1" applyAlignment="1">
      <alignment horizontal="right"/>
    </xf>
    <xf numFmtId="165" fontId="41" fillId="0" borderId="26" xfId="0" applyNumberFormat="1" applyFont="1" applyBorder="1" applyAlignment="1">
      <alignment horizontal="right"/>
    </xf>
    <xf numFmtId="181" fontId="0" fillId="0" borderId="26" xfId="0" applyNumberFormat="1" applyBorder="1"/>
    <xf numFmtId="40" fontId="19" fillId="0" borderId="26" xfId="0" applyNumberFormat="1" applyFont="1" applyBorder="1" applyAlignment="1">
      <alignment horizontal="right"/>
    </xf>
    <xf numFmtId="2" fontId="0" fillId="0" borderId="0" xfId="0" applyNumberFormat="1"/>
    <xf numFmtId="3" fontId="0" fillId="0" borderId="0" xfId="0" applyNumberFormat="1"/>
    <xf numFmtId="0" fontId="17" fillId="54" borderId="0" xfId="0" applyFont="1" applyFill="1"/>
    <xf numFmtId="0" fontId="19" fillId="0" borderId="20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165" fontId="0" fillId="0" borderId="0" xfId="0" applyNumberFormat="1"/>
    <xf numFmtId="0" fontId="19" fillId="35" borderId="0" xfId="0" applyFont="1" applyFill="1" applyAlignment="1">
      <alignment horizontal="left"/>
    </xf>
    <xf numFmtId="2" fontId="41" fillId="0" borderId="26" xfId="0" applyNumberFormat="1" applyFont="1" applyBorder="1" applyAlignment="1">
      <alignment horizontal="right"/>
    </xf>
    <xf numFmtId="167" fontId="0" fillId="0" borderId="0" xfId="0" applyNumberFormat="1"/>
    <xf numFmtId="165" fontId="19" fillId="0" borderId="33" xfId="0" applyNumberFormat="1" applyFont="1" applyBorder="1" applyAlignment="1">
      <alignment horizontal="right"/>
    </xf>
    <xf numFmtId="1" fontId="19" fillId="0" borderId="34" xfId="0" applyNumberFormat="1" applyFont="1" applyBorder="1" applyAlignment="1">
      <alignment horizontal="right"/>
    </xf>
    <xf numFmtId="1" fontId="19" fillId="48" borderId="14" xfId="42" applyNumberFormat="1" applyFont="1" applyFill="1" applyBorder="1" applyAlignment="1">
      <alignment horizontal="right" wrapText="1"/>
    </xf>
    <xf numFmtId="182" fontId="19" fillId="34" borderId="14" xfId="0" applyNumberFormat="1" applyFont="1" applyFill="1" applyBorder="1" applyAlignment="1">
      <alignment horizontal="right" wrapText="1"/>
    </xf>
    <xf numFmtId="0" fontId="38" fillId="41" borderId="13" xfId="0" applyFont="1" applyFill="1" applyBorder="1" applyAlignment="1">
      <alignment horizontal="left"/>
    </xf>
    <xf numFmtId="2" fontId="0" fillId="52" borderId="0" xfId="0" applyNumberFormat="1" applyFill="1" applyAlignment="1">
      <alignment horizontal="right" indent="1"/>
    </xf>
    <xf numFmtId="171" fontId="19" fillId="34" borderId="14" xfId="42" applyNumberFormat="1" applyFont="1" applyFill="1" applyBorder="1" applyAlignment="1">
      <alignment horizontal="right" wrapText="1"/>
    </xf>
    <xf numFmtId="10" fontId="0" fillId="0" borderId="26" xfId="0" applyNumberFormat="1" applyBorder="1"/>
    <xf numFmtId="10" fontId="51" fillId="57" borderId="26" xfId="0" applyNumberFormat="1" applyFont="1" applyFill="1" applyBorder="1" applyAlignment="1">
      <alignment vertical="center"/>
    </xf>
    <xf numFmtId="10" fontId="51" fillId="57" borderId="26" xfId="0" applyNumberFormat="1" applyFont="1" applyFill="1" applyBorder="1" applyAlignment="1">
      <alignment horizontal="left" vertical="center" indent="6"/>
    </xf>
    <xf numFmtId="3" fontId="52" fillId="53" borderId="26" xfId="0" applyNumberFormat="1" applyFont="1" applyFill="1" applyBorder="1" applyAlignment="1">
      <alignment vertical="center"/>
    </xf>
    <xf numFmtId="0" fontId="0" fillId="58" borderId="0" xfId="0" applyFill="1"/>
    <xf numFmtId="0" fontId="31" fillId="59" borderId="28" xfId="0" applyFont="1" applyFill="1" applyBorder="1"/>
    <xf numFmtId="0" fontId="24" fillId="59" borderId="29" xfId="0" applyFont="1" applyFill="1" applyBorder="1"/>
    <xf numFmtId="0" fontId="24" fillId="58" borderId="28" xfId="0" applyFont="1" applyFill="1" applyBorder="1"/>
    <xf numFmtId="168" fontId="24" fillId="58" borderId="29" xfId="0" applyNumberFormat="1" applyFont="1" applyFill="1" applyBorder="1"/>
    <xf numFmtId="168" fontId="24" fillId="58" borderId="26" xfId="0" applyNumberFormat="1" applyFont="1" applyFill="1" applyBorder="1"/>
    <xf numFmtId="38" fontId="0" fillId="58" borderId="26" xfId="0" applyNumberFormat="1" applyFill="1" applyBorder="1" applyAlignment="1">
      <alignment horizontal="right" wrapText="1"/>
    </xf>
    <xf numFmtId="169" fontId="24" fillId="58" borderId="29" xfId="0" applyNumberFormat="1" applyFont="1" applyFill="1" applyBorder="1"/>
    <xf numFmtId="0" fontId="24" fillId="58" borderId="33" xfId="0" applyFont="1" applyFill="1" applyBorder="1"/>
    <xf numFmtId="43" fontId="0" fillId="58" borderId="0" xfId="0" applyNumberFormat="1" applyFill="1"/>
    <xf numFmtId="0" fontId="0" fillId="58" borderId="26" xfId="0" applyFill="1" applyBorder="1"/>
    <xf numFmtId="1" fontId="0" fillId="58" borderId="26" xfId="0" applyNumberFormat="1" applyFill="1" applyBorder="1"/>
    <xf numFmtId="3" fontId="52" fillId="58" borderId="26" xfId="0" applyNumberFormat="1" applyFont="1" applyFill="1" applyBorder="1" applyAlignment="1">
      <alignment vertical="center"/>
    </xf>
    <xf numFmtId="0" fontId="16" fillId="58" borderId="0" xfId="0" applyFont="1" applyFill="1"/>
    <xf numFmtId="10" fontId="0" fillId="58" borderId="26" xfId="0" applyNumberFormat="1" applyFill="1" applyBorder="1" applyAlignment="1">
      <alignment horizontal="right"/>
    </xf>
    <xf numFmtId="170" fontId="0" fillId="58" borderId="26" xfId="0" applyNumberFormat="1" applyFill="1" applyBorder="1"/>
    <xf numFmtId="40" fontId="24" fillId="58" borderId="30" xfId="0" applyNumberFormat="1" applyFont="1" applyFill="1" applyBorder="1"/>
    <xf numFmtId="169" fontId="0" fillId="58" borderId="26" xfId="0" applyNumberFormat="1" applyFill="1" applyBorder="1"/>
    <xf numFmtId="43" fontId="0" fillId="58" borderId="26" xfId="0" applyNumberFormat="1" applyFill="1" applyBorder="1"/>
    <xf numFmtId="8" fontId="0" fillId="58" borderId="26" xfId="0" applyNumberFormat="1" applyFill="1" applyBorder="1"/>
    <xf numFmtId="42" fontId="0" fillId="58" borderId="26" xfId="44" applyFont="1" applyFill="1" applyBorder="1"/>
    <xf numFmtId="42" fontId="0" fillId="58" borderId="26" xfId="0" applyNumberFormat="1" applyFill="1" applyBorder="1"/>
    <xf numFmtId="1" fontId="0" fillId="58" borderId="0" xfId="43" applyNumberFormat="1" applyFont="1" applyFill="1"/>
    <xf numFmtId="10" fontId="0" fillId="58" borderId="0" xfId="0" applyNumberFormat="1" applyFill="1"/>
    <xf numFmtId="171" fontId="0" fillId="58" borderId="0" xfId="42" applyNumberFormat="1" applyFont="1" applyFill="1"/>
    <xf numFmtId="10" fontId="0" fillId="58" borderId="0" xfId="42" applyNumberFormat="1" applyFont="1" applyFill="1"/>
    <xf numFmtId="0" fontId="44" fillId="58" borderId="0" xfId="0" applyFont="1" applyFill="1" applyAlignment="1">
      <alignment wrapText="1"/>
    </xf>
    <xf numFmtId="0" fontId="45" fillId="58" borderId="0" xfId="0" applyFont="1" applyFill="1"/>
    <xf numFmtId="3" fontId="45" fillId="58" borderId="0" xfId="0" applyNumberFormat="1" applyFont="1" applyFill="1"/>
    <xf numFmtId="14" fontId="45" fillId="58" borderId="0" xfId="0" applyNumberFormat="1" applyFont="1" applyFill="1"/>
    <xf numFmtId="4" fontId="45" fillId="58" borderId="0" xfId="0" applyNumberFormat="1" applyFont="1" applyFill="1"/>
    <xf numFmtId="40" fontId="0" fillId="58" borderId="0" xfId="0" applyNumberFormat="1" applyFill="1"/>
    <xf numFmtId="177" fontId="0" fillId="58" borderId="0" xfId="0" applyNumberFormat="1" applyFill="1"/>
    <xf numFmtId="0" fontId="44" fillId="58" borderId="0" xfId="0" applyFont="1" applyFill="1"/>
    <xf numFmtId="3" fontId="44" fillId="58" borderId="0" xfId="0" applyNumberFormat="1" applyFont="1" applyFill="1"/>
    <xf numFmtId="14" fontId="44" fillId="58" borderId="0" xfId="0" applyNumberFormat="1" applyFont="1" applyFill="1"/>
    <xf numFmtId="4" fontId="46" fillId="58" borderId="0" xfId="0" applyNumberFormat="1" applyFont="1" applyFill="1"/>
    <xf numFmtId="40" fontId="48" fillId="58" borderId="0" xfId="0" applyNumberFormat="1" applyFont="1" applyFill="1"/>
    <xf numFmtId="171" fontId="48" fillId="58" borderId="0" xfId="42" applyNumberFormat="1" applyFont="1" applyFill="1"/>
    <xf numFmtId="4" fontId="44" fillId="58" borderId="0" xfId="0" applyNumberFormat="1" applyFont="1" applyFill="1"/>
    <xf numFmtId="4" fontId="0" fillId="58" borderId="0" xfId="0" applyNumberFormat="1" applyFill="1"/>
    <xf numFmtId="0" fontId="0" fillId="58" borderId="0" xfId="0" applyFill="1" applyAlignment="1">
      <alignment horizontal="center"/>
    </xf>
    <xf numFmtId="38" fontId="0" fillId="58" borderId="26" xfId="0" applyNumberFormat="1" applyFill="1" applyBorder="1" applyAlignment="1">
      <alignment horizontal="center"/>
    </xf>
    <xf numFmtId="38" fontId="0" fillId="58" borderId="26" xfId="0" applyNumberFormat="1" applyFill="1" applyBorder="1"/>
    <xf numFmtId="41" fontId="0" fillId="58" borderId="26" xfId="0" applyNumberFormat="1" applyFill="1" applyBorder="1"/>
    <xf numFmtId="178" fontId="0" fillId="58" borderId="26" xfId="43" applyNumberFormat="1" applyFont="1" applyFill="1" applyBorder="1"/>
    <xf numFmtId="179" fontId="0" fillId="58" borderId="26" xfId="0" applyNumberFormat="1" applyFill="1" applyBorder="1"/>
    <xf numFmtId="180" fontId="0" fillId="58" borderId="0" xfId="43" applyNumberFormat="1" applyFont="1" applyFill="1"/>
    <xf numFmtId="6" fontId="0" fillId="58" borderId="0" xfId="0" applyNumberFormat="1" applyFill="1"/>
    <xf numFmtId="179" fontId="0" fillId="58" borderId="0" xfId="0" applyNumberFormat="1" applyFill="1"/>
    <xf numFmtId="9" fontId="0" fillId="58" borderId="26" xfId="0" applyNumberFormat="1" applyFill="1" applyBorder="1"/>
    <xf numFmtId="0" fontId="48" fillId="58" borderId="0" xfId="0" applyFont="1" applyFill="1"/>
    <xf numFmtId="178" fontId="0" fillId="58" borderId="0" xfId="0" applyNumberFormat="1" applyFill="1"/>
    <xf numFmtId="42" fontId="43" fillId="45" borderId="26" xfId="44" applyFont="1" applyFill="1" applyBorder="1"/>
    <xf numFmtId="41" fontId="0" fillId="58" borderId="26" xfId="43" applyFont="1" applyFill="1" applyBorder="1"/>
    <xf numFmtId="183" fontId="0" fillId="58" borderId="26" xfId="0" applyNumberFormat="1" applyFill="1" applyBorder="1"/>
    <xf numFmtId="0" fontId="13" fillId="55" borderId="26" xfId="0" applyFont="1" applyFill="1" applyBorder="1"/>
    <xf numFmtId="0" fontId="13" fillId="55" borderId="26" xfId="0" applyFont="1" applyFill="1" applyBorder="1" applyAlignment="1">
      <alignment horizontal="center"/>
    </xf>
    <xf numFmtId="3" fontId="51" fillId="57" borderId="26" xfId="0" applyNumberFormat="1" applyFont="1" applyFill="1" applyBorder="1" applyAlignment="1">
      <alignment horizontal="left" vertical="center" indent="6"/>
    </xf>
    <xf numFmtId="38" fontId="52" fillId="58" borderId="26" xfId="0" applyNumberFormat="1" applyFont="1" applyFill="1" applyBorder="1" applyAlignment="1">
      <alignment vertical="center"/>
    </xf>
    <xf numFmtId="38" fontId="52" fillId="53" borderId="26" xfId="0" applyNumberFormat="1" applyFont="1" applyFill="1" applyBorder="1" applyAlignment="1">
      <alignment vertical="center"/>
    </xf>
    <xf numFmtId="40" fontId="51" fillId="57" borderId="26" xfId="0" applyNumberFormat="1" applyFont="1" applyFill="1" applyBorder="1" applyAlignment="1">
      <alignment vertical="center"/>
    </xf>
    <xf numFmtId="3" fontId="0" fillId="58" borderId="0" xfId="0" applyNumberFormat="1" applyFill="1"/>
    <xf numFmtId="9" fontId="0" fillId="58" borderId="0" xfId="42" applyFont="1" applyFill="1"/>
    <xf numFmtId="0" fontId="54" fillId="61" borderId="26" xfId="0" applyFont="1" applyFill="1" applyBorder="1" applyAlignment="1">
      <alignment horizontal="right"/>
    </xf>
    <xf numFmtId="184" fontId="55" fillId="0" borderId="26" xfId="0" applyNumberFormat="1" applyFont="1" applyBorder="1"/>
    <xf numFmtId="185" fontId="55" fillId="0" borderId="26" xfId="0" applyNumberFormat="1" applyFont="1" applyBorder="1"/>
    <xf numFmtId="186" fontId="55" fillId="0" borderId="26" xfId="0" applyNumberFormat="1" applyFont="1" applyBorder="1"/>
    <xf numFmtId="10" fontId="56" fillId="0" borderId="26" xfId="42" applyNumberFormat="1" applyFont="1" applyBorder="1"/>
    <xf numFmtId="0" fontId="32" fillId="0" borderId="39" xfId="0" applyFont="1" applyBorder="1" applyAlignment="1">
      <alignment horizontal="centerContinuous"/>
    </xf>
    <xf numFmtId="0" fontId="0" fillId="0" borderId="40" xfId="0" applyBorder="1"/>
    <xf numFmtId="0" fontId="32" fillId="0" borderId="39" xfId="0" applyFont="1" applyBorder="1" applyAlignment="1">
      <alignment horizontal="center"/>
    </xf>
    <xf numFmtId="0" fontId="16" fillId="48" borderId="40" xfId="0" applyFont="1" applyFill="1" applyBorder="1"/>
    <xf numFmtId="2" fontId="57" fillId="0" borderId="26" xfId="0" applyNumberFormat="1" applyFont="1" applyBorder="1"/>
    <xf numFmtId="0" fontId="57" fillId="62" borderId="26" xfId="0" applyFont="1" applyFill="1" applyBorder="1"/>
    <xf numFmtId="10" fontId="57" fillId="62" borderId="26" xfId="0" applyNumberFormat="1" applyFont="1" applyFill="1" applyBorder="1"/>
    <xf numFmtId="0" fontId="56" fillId="0" borderId="26" xfId="0" applyFont="1" applyBorder="1"/>
    <xf numFmtId="0" fontId="58" fillId="0" borderId="0" xfId="0" applyFont="1"/>
    <xf numFmtId="0" fontId="16" fillId="44" borderId="41" xfId="0" applyFont="1" applyFill="1" applyBorder="1"/>
    <xf numFmtId="0" fontId="0" fillId="58" borderId="41" xfId="0" applyFill="1" applyBorder="1" applyAlignment="1">
      <alignment horizontal="center"/>
    </xf>
    <xf numFmtId="0" fontId="0" fillId="58" borderId="41" xfId="0" applyFill="1" applyBorder="1" applyAlignment="1">
      <alignment horizontal="center" vertical="center"/>
    </xf>
    <xf numFmtId="1" fontId="0" fillId="58" borderId="41" xfId="0" applyNumberFormat="1" applyFill="1" applyBorder="1" applyAlignment="1">
      <alignment horizontal="center" vertical="center"/>
    </xf>
    <xf numFmtId="171" fontId="0" fillId="58" borderId="41" xfId="0" applyNumberFormat="1" applyFill="1" applyBorder="1" applyAlignment="1">
      <alignment horizontal="center" vertical="center"/>
    </xf>
    <xf numFmtId="4" fontId="0" fillId="58" borderId="41" xfId="0" applyNumberFormat="1" applyFill="1" applyBorder="1" applyAlignment="1">
      <alignment horizontal="center" vertical="center"/>
    </xf>
    <xf numFmtId="0" fontId="16" fillId="44" borderId="41" xfId="0" applyFont="1" applyFill="1" applyBorder="1" applyAlignment="1">
      <alignment horizontal="center"/>
    </xf>
    <xf numFmtId="0" fontId="16" fillId="0" borderId="41" xfId="0" applyFont="1" applyBorder="1"/>
    <xf numFmtId="38" fontId="0" fillId="58" borderId="41" xfId="0" applyNumberFormat="1" applyFill="1" applyBorder="1"/>
    <xf numFmtId="10" fontId="0" fillId="58" borderId="41" xfId="0" applyNumberFormat="1" applyFill="1" applyBorder="1"/>
    <xf numFmtId="0" fontId="0" fillId="58" borderId="41" xfId="0" applyFill="1" applyBorder="1"/>
    <xf numFmtId="2" fontId="0" fillId="58" borderId="41" xfId="0" applyNumberFormat="1" applyFill="1" applyBorder="1"/>
    <xf numFmtId="40" fontId="0" fillId="58" borderId="41" xfId="0" applyNumberFormat="1" applyFill="1" applyBorder="1"/>
    <xf numFmtId="0" fontId="0" fillId="58" borderId="41" xfId="0" applyFill="1" applyBorder="1" applyAlignment="1">
      <alignment horizontal="right"/>
    </xf>
    <xf numFmtId="10" fontId="0" fillId="58" borderId="41" xfId="0" applyNumberFormat="1" applyFill="1" applyBorder="1" applyAlignment="1">
      <alignment horizontal="center"/>
    </xf>
    <xf numFmtId="10" fontId="0" fillId="58" borderId="41" xfId="0" applyNumberFormat="1" applyFill="1" applyBorder="1" applyAlignment="1">
      <alignment horizontal="center" vertical="center"/>
    </xf>
    <xf numFmtId="10" fontId="0" fillId="58" borderId="41" xfId="42" applyNumberFormat="1" applyFont="1" applyFill="1" applyBorder="1" applyAlignment="1">
      <alignment horizontal="center" vertical="center"/>
    </xf>
    <xf numFmtId="0" fontId="16" fillId="44" borderId="41" xfId="0" applyFont="1" applyFill="1" applyBorder="1" applyAlignment="1">
      <alignment wrapText="1"/>
    </xf>
    <xf numFmtId="0" fontId="16" fillId="44" borderId="41" xfId="0" applyFont="1" applyFill="1" applyBorder="1" applyAlignment="1">
      <alignment horizontal="center" vertical="center" wrapText="1"/>
    </xf>
    <xf numFmtId="0" fontId="16" fillId="44" borderId="41" xfId="0" applyFont="1" applyFill="1" applyBorder="1" applyAlignment="1">
      <alignment horizontal="center" wrapText="1"/>
    </xf>
    <xf numFmtId="167" fontId="19" fillId="0" borderId="27" xfId="0" applyNumberFormat="1" applyFont="1" applyBorder="1" applyAlignment="1">
      <alignment horizontal="right"/>
    </xf>
    <xf numFmtId="167" fontId="41" fillId="0" borderId="27" xfId="0" applyNumberFormat="1" applyFont="1" applyBorder="1" applyAlignment="1">
      <alignment horizontal="right"/>
    </xf>
    <xf numFmtId="1" fontId="19" fillId="0" borderId="27" xfId="0" applyNumberFormat="1" applyFont="1" applyBorder="1" applyAlignment="1">
      <alignment horizontal="right"/>
    </xf>
    <xf numFmtId="1" fontId="41" fillId="0" borderId="27" xfId="0" applyNumberFormat="1" applyFont="1" applyBorder="1" applyAlignment="1">
      <alignment horizontal="right"/>
    </xf>
    <xf numFmtId="181" fontId="50" fillId="0" borderId="26" xfId="0" applyNumberFormat="1" applyFont="1" applyBorder="1"/>
    <xf numFmtId="9" fontId="0" fillId="58" borderId="0" xfId="0" applyNumberFormat="1" applyFill="1"/>
    <xf numFmtId="41" fontId="0" fillId="58" borderId="0" xfId="43" applyFont="1" applyFill="1"/>
    <xf numFmtId="0" fontId="13" fillId="55" borderId="41" xfId="0" applyFont="1" applyFill="1" applyBorder="1"/>
    <xf numFmtId="0" fontId="0" fillId="44" borderId="41" xfId="0" applyFill="1" applyBorder="1" applyAlignment="1">
      <alignment wrapText="1"/>
    </xf>
    <xf numFmtId="0" fontId="0" fillId="44" borderId="41" xfId="0" applyFill="1" applyBorder="1" applyAlignment="1">
      <alignment vertical="center" wrapText="1"/>
    </xf>
    <xf numFmtId="0" fontId="16" fillId="44" borderId="41" xfId="0" applyFont="1" applyFill="1" applyBorder="1" applyAlignment="1">
      <alignment vertical="center" wrapText="1"/>
    </xf>
    <xf numFmtId="3" fontId="0" fillId="58" borderId="41" xfId="43" applyNumberFormat="1" applyFont="1" applyFill="1" applyBorder="1" applyAlignment="1">
      <alignment horizontal="center" vertical="center"/>
    </xf>
    <xf numFmtId="0" fontId="13" fillId="55" borderId="41" xfId="0" applyFont="1" applyFill="1" applyBorder="1" applyAlignment="1">
      <alignment horizontal="center"/>
    </xf>
    <xf numFmtId="3" fontId="0" fillId="58" borderId="41" xfId="43" applyNumberFormat="1" applyFont="1" applyFill="1" applyBorder="1" applyAlignment="1">
      <alignment horizontal="left" vertical="center" wrapText="1"/>
    </xf>
    <xf numFmtId="187" fontId="0" fillId="58" borderId="41" xfId="43" applyNumberFormat="1" applyFont="1" applyFill="1" applyBorder="1" applyAlignment="1">
      <alignment horizontal="center" vertical="center"/>
    </xf>
    <xf numFmtId="38" fontId="41" fillId="63" borderId="14" xfId="0" applyNumberFormat="1" applyFont="1" applyFill="1" applyBorder="1" applyAlignment="1">
      <alignment horizontal="right" wrapText="1"/>
    </xf>
    <xf numFmtId="2" fontId="19" fillId="0" borderId="27" xfId="0" applyNumberFormat="1" applyFont="1" applyBorder="1" applyAlignment="1">
      <alignment horizontal="right"/>
    </xf>
    <xf numFmtId="2" fontId="41" fillId="0" borderId="27" xfId="0" applyNumberFormat="1" applyFont="1" applyBorder="1" applyAlignment="1">
      <alignment horizontal="right"/>
    </xf>
    <xf numFmtId="0" fontId="13" fillId="55" borderId="41" xfId="0" applyFont="1" applyFill="1" applyBorder="1" applyAlignment="1">
      <alignment horizontal="center" wrapText="1"/>
    </xf>
    <xf numFmtId="0" fontId="13" fillId="55" borderId="41" xfId="0" applyFont="1" applyFill="1" applyBorder="1" applyAlignment="1">
      <alignment horizontal="center" vertical="center"/>
    </xf>
    <xf numFmtId="38" fontId="13" fillId="57" borderId="41" xfId="0" applyNumberFormat="1" applyFont="1" applyFill="1" applyBorder="1" applyAlignment="1">
      <alignment horizontal="center"/>
    </xf>
    <xf numFmtId="1" fontId="13" fillId="55" borderId="41" xfId="0" applyNumberFormat="1" applyFont="1" applyFill="1" applyBorder="1" applyAlignment="1">
      <alignment horizontal="center"/>
    </xf>
    <xf numFmtId="38" fontId="0" fillId="0" borderId="41" xfId="0" applyNumberFormat="1" applyBorder="1"/>
    <xf numFmtId="38" fontId="0" fillId="55" borderId="41" xfId="0" applyNumberFormat="1" applyFill="1" applyBorder="1"/>
    <xf numFmtId="38" fontId="0" fillId="58" borderId="0" xfId="0" applyNumberFormat="1" applyFill="1"/>
    <xf numFmtId="38" fontId="36" fillId="58" borderId="41" xfId="0" applyNumberFormat="1" applyFont="1" applyFill="1" applyBorder="1"/>
    <xf numFmtId="38" fontId="32" fillId="58" borderId="41" xfId="0" applyNumberFormat="1" applyFont="1" applyFill="1" applyBorder="1"/>
    <xf numFmtId="10" fontId="32" fillId="58" borderId="41" xfId="42" applyNumberFormat="1" applyFont="1" applyFill="1" applyBorder="1" applyAlignment="1">
      <alignment horizontal="center"/>
    </xf>
    <xf numFmtId="10" fontId="33" fillId="58" borderId="41" xfId="42" applyNumberFormat="1" applyFont="1" applyFill="1" applyBorder="1" applyAlignment="1">
      <alignment horizontal="center"/>
    </xf>
    <xf numFmtId="10" fontId="37" fillId="58" borderId="41" xfId="42" applyNumberFormat="1" applyFont="1" applyFill="1" applyBorder="1" applyAlignment="1">
      <alignment horizontal="center"/>
    </xf>
    <xf numFmtId="38" fontId="16" fillId="58" borderId="41" xfId="0" applyNumberFormat="1" applyFont="1" applyFill="1" applyBorder="1"/>
    <xf numFmtId="172" fontId="0" fillId="58" borderId="0" xfId="42" applyNumberFormat="1" applyFont="1" applyFill="1"/>
    <xf numFmtId="10" fontId="32" fillId="58" borderId="41" xfId="42" applyNumberFormat="1" applyFont="1" applyFill="1" applyBorder="1"/>
    <xf numFmtId="10" fontId="37" fillId="58" borderId="41" xfId="42" applyNumberFormat="1" applyFont="1" applyFill="1" applyBorder="1"/>
    <xf numFmtId="1" fontId="1" fillId="58" borderId="41" xfId="42" applyNumberFormat="1" applyFont="1" applyFill="1" applyBorder="1"/>
    <xf numFmtId="9" fontId="32" fillId="58" borderId="41" xfId="42" applyFont="1" applyFill="1" applyBorder="1"/>
    <xf numFmtId="171" fontId="36" fillId="58" borderId="41" xfId="42" applyNumberFormat="1" applyFont="1" applyFill="1" applyBorder="1"/>
    <xf numFmtId="38" fontId="1" fillId="58" borderId="41" xfId="42" applyNumberFormat="1" applyFont="1" applyFill="1" applyBorder="1"/>
    <xf numFmtId="172" fontId="32" fillId="58" borderId="41" xfId="42" applyNumberFormat="1" applyFont="1" applyFill="1" applyBorder="1"/>
    <xf numFmtId="9" fontId="37" fillId="58" borderId="41" xfId="42" applyFont="1" applyFill="1" applyBorder="1"/>
    <xf numFmtId="38" fontId="0" fillId="58" borderId="41" xfId="42" applyNumberFormat="1" applyFont="1" applyFill="1" applyBorder="1"/>
    <xf numFmtId="38" fontId="36" fillId="58" borderId="41" xfId="42" applyNumberFormat="1" applyFont="1" applyFill="1" applyBorder="1"/>
    <xf numFmtId="9" fontId="0" fillId="58" borderId="41" xfId="42" applyFont="1" applyFill="1" applyBorder="1"/>
    <xf numFmtId="38" fontId="16" fillId="58" borderId="0" xfId="0" applyNumberFormat="1" applyFont="1" applyFill="1"/>
    <xf numFmtId="38" fontId="36" fillId="58" borderId="0" xfId="0" applyNumberFormat="1" applyFont="1" applyFill="1"/>
    <xf numFmtId="38" fontId="32" fillId="58" borderId="0" xfId="0" applyNumberFormat="1" applyFont="1" applyFill="1"/>
    <xf numFmtId="38" fontId="35" fillId="58" borderId="0" xfId="0" applyNumberFormat="1" applyFont="1" applyFill="1"/>
    <xf numFmtId="172" fontId="36" fillId="58" borderId="0" xfId="42" applyNumberFormat="1" applyFont="1" applyFill="1"/>
    <xf numFmtId="38" fontId="0" fillId="58" borderId="0" xfId="0" applyNumberFormat="1" applyFill="1" applyAlignment="1">
      <alignment horizontal="right"/>
    </xf>
    <xf numFmtId="0" fontId="38" fillId="58" borderId="13" xfId="0" applyFont="1" applyFill="1" applyBorder="1" applyAlignment="1">
      <alignment horizontal="right"/>
    </xf>
    <xf numFmtId="38" fontId="19" fillId="58" borderId="14" xfId="0" applyNumberFormat="1" applyFont="1" applyFill="1" applyBorder="1" applyAlignment="1">
      <alignment horizontal="right" wrapText="1"/>
    </xf>
    <xf numFmtId="165" fontId="19" fillId="58" borderId="14" xfId="42" applyNumberFormat="1" applyFont="1" applyFill="1" applyBorder="1" applyAlignment="1">
      <alignment horizontal="right" wrapText="1"/>
    </xf>
    <xf numFmtId="38" fontId="13" fillId="55" borderId="41" xfId="0" applyNumberFormat="1" applyFont="1" applyFill="1" applyBorder="1"/>
    <xf numFmtId="9" fontId="0" fillId="58" borderId="0" xfId="42" applyFont="1" applyFill="1" applyBorder="1"/>
    <xf numFmtId="0" fontId="13" fillId="64" borderId="26" xfId="0" applyFont="1" applyFill="1" applyBorder="1"/>
    <xf numFmtId="0" fontId="13" fillId="64" borderId="27" xfId="0" applyFont="1" applyFill="1" applyBorder="1"/>
    <xf numFmtId="0" fontId="17" fillId="55" borderId="26" xfId="0" applyFont="1" applyFill="1" applyBorder="1"/>
    <xf numFmtId="1" fontId="17" fillId="55" borderId="26" xfId="0" applyNumberFormat="1" applyFont="1" applyFill="1" applyBorder="1"/>
    <xf numFmtId="9" fontId="19" fillId="0" borderId="14" xfId="42" applyFont="1" applyFill="1" applyBorder="1" applyAlignment="1">
      <alignment horizontal="right" wrapText="1"/>
    </xf>
    <xf numFmtId="40" fontId="19" fillId="0" borderId="0" xfId="0" applyNumberFormat="1" applyFont="1" applyAlignment="1">
      <alignment horizontal="right" wrapText="1"/>
    </xf>
    <xf numFmtId="0" fontId="29" fillId="0" borderId="41" xfId="0" applyFont="1" applyBorder="1" applyAlignment="1">
      <alignment horizontal="center"/>
    </xf>
    <xf numFmtId="0" fontId="29" fillId="55" borderId="41" xfId="0" applyFont="1" applyFill="1" applyBorder="1" applyAlignment="1">
      <alignment horizontal="center"/>
    </xf>
    <xf numFmtId="0" fontId="29" fillId="57" borderId="41" xfId="0" applyFont="1" applyFill="1" applyBorder="1" applyAlignment="1">
      <alignment horizontal="center"/>
    </xf>
    <xf numFmtId="0" fontId="19" fillId="0" borderId="41" xfId="0" applyFont="1" applyBorder="1" applyAlignment="1">
      <alignment horizontal="right"/>
    </xf>
    <xf numFmtId="38" fontId="19" fillId="0" borderId="41" xfId="0" applyNumberFormat="1" applyFont="1" applyBorder="1" applyAlignment="1">
      <alignment horizontal="right"/>
    </xf>
    <xf numFmtId="0" fontId="19" fillId="0" borderId="41" xfId="0" applyFont="1" applyBorder="1" applyAlignment="1">
      <alignment horizontal="left"/>
    </xf>
    <xf numFmtId="38" fontId="19" fillId="0" borderId="41" xfId="0" applyNumberFormat="1" applyFont="1" applyBorder="1" applyAlignment="1">
      <alignment horizontal="right" wrapText="1"/>
    </xf>
    <xf numFmtId="0" fontId="19" fillId="0" borderId="41" xfId="0" applyFont="1" applyBorder="1" applyAlignment="1">
      <alignment horizontal="left" indent="2"/>
    </xf>
    <xf numFmtId="9" fontId="19" fillId="0" borderId="41" xfId="42" applyFont="1" applyFill="1" applyBorder="1" applyAlignment="1">
      <alignment horizontal="right" wrapText="1"/>
    </xf>
    <xf numFmtId="0" fontId="19" fillId="0" borderId="41" xfId="0" applyFont="1" applyBorder="1" applyAlignment="1">
      <alignment horizontal="left" wrapText="1"/>
    </xf>
    <xf numFmtId="3" fontId="19" fillId="0" borderId="41" xfId="0" applyNumberFormat="1" applyFont="1" applyBorder="1" applyAlignment="1">
      <alignment horizontal="right" wrapText="1"/>
    </xf>
    <xf numFmtId="0" fontId="38" fillId="0" borderId="41" xfId="0" applyFont="1" applyBorder="1" applyAlignment="1">
      <alignment horizontal="right" wrapText="1"/>
    </xf>
    <xf numFmtId="171" fontId="19" fillId="0" borderId="41" xfId="42" applyNumberFormat="1" applyFont="1" applyFill="1" applyBorder="1" applyAlignment="1">
      <alignment horizontal="right" wrapText="1"/>
    </xf>
    <xf numFmtId="10" fontId="19" fillId="0" borderId="41" xfId="42" applyNumberFormat="1" applyFont="1" applyFill="1" applyBorder="1" applyAlignment="1">
      <alignment horizontal="right" wrapText="1"/>
    </xf>
    <xf numFmtId="172" fontId="19" fillId="0" borderId="41" xfId="42" applyNumberFormat="1" applyFont="1" applyFill="1" applyBorder="1" applyAlignment="1">
      <alignment horizontal="right" wrapText="1"/>
    </xf>
    <xf numFmtId="0" fontId="38" fillId="0" borderId="41" xfId="0" applyFont="1" applyBorder="1" applyAlignment="1">
      <alignment horizontal="right"/>
    </xf>
    <xf numFmtId="171" fontId="19" fillId="0" borderId="41" xfId="0" applyNumberFormat="1" applyFont="1" applyBorder="1" applyAlignment="1">
      <alignment horizontal="right" wrapText="1"/>
    </xf>
    <xf numFmtId="0" fontId="47" fillId="0" borderId="41" xfId="0" applyFont="1" applyBorder="1" applyAlignment="1">
      <alignment horizontal="right"/>
    </xf>
    <xf numFmtId="38" fontId="19" fillId="0" borderId="41" xfId="42" applyNumberFormat="1" applyFont="1" applyFill="1" applyBorder="1" applyAlignment="1">
      <alignment horizontal="right" wrapText="1"/>
    </xf>
    <xf numFmtId="38" fontId="41" fillId="0" borderId="41" xfId="0" applyNumberFormat="1" applyFont="1" applyBorder="1" applyAlignment="1">
      <alignment horizontal="right" wrapText="1"/>
    </xf>
    <xf numFmtId="9" fontId="41" fillId="0" borderId="41" xfId="0" applyNumberFormat="1" applyFont="1" applyBorder="1" applyAlignment="1">
      <alignment horizontal="right" wrapText="1"/>
    </xf>
    <xf numFmtId="10" fontId="41" fillId="0" borderId="41" xfId="0" applyNumberFormat="1" applyFont="1" applyBorder="1" applyAlignment="1">
      <alignment horizontal="right" wrapText="1"/>
    </xf>
    <xf numFmtId="0" fontId="0" fillId="0" borderId="41" xfId="0" applyBorder="1"/>
    <xf numFmtId="40" fontId="19" fillId="0" borderId="41" xfId="0" applyNumberFormat="1" applyFont="1" applyBorder="1" applyAlignment="1">
      <alignment horizontal="right" wrapText="1"/>
    </xf>
    <xf numFmtId="10" fontId="0" fillId="0" borderId="41" xfId="0" applyNumberFormat="1" applyBorder="1"/>
    <xf numFmtId="38" fontId="38" fillId="0" borderId="41" xfId="0" applyNumberFormat="1" applyFont="1" applyBorder="1" applyAlignment="1">
      <alignment horizontal="right" wrapText="1"/>
    </xf>
    <xf numFmtId="0" fontId="38" fillId="0" borderId="41" xfId="0" applyFont="1" applyBorder="1" applyAlignment="1">
      <alignment horizontal="left" wrapText="1"/>
    </xf>
    <xf numFmtId="0" fontId="36" fillId="0" borderId="41" xfId="0" applyFont="1" applyBorder="1"/>
    <xf numFmtId="0" fontId="13" fillId="0" borderId="0" xfId="0" applyFont="1"/>
    <xf numFmtId="0" fontId="19" fillId="0" borderId="0" xfId="0" applyFont="1" applyAlignment="1">
      <alignment horizontal="left" wrapText="1"/>
    </xf>
    <xf numFmtId="0" fontId="19" fillId="0" borderId="41" xfId="0" applyFont="1" applyBorder="1" applyAlignment="1">
      <alignment horizontal="right" wrapText="1"/>
    </xf>
    <xf numFmtId="171" fontId="19" fillId="0" borderId="41" xfId="0" applyNumberFormat="1" applyFont="1" applyBorder="1" applyAlignment="1">
      <alignment horizontal="left" wrapText="1"/>
    </xf>
    <xf numFmtId="38" fontId="19" fillId="0" borderId="41" xfId="0" applyNumberFormat="1" applyFont="1" applyBorder="1" applyAlignment="1">
      <alignment horizontal="left" wrapText="1"/>
    </xf>
    <xf numFmtId="0" fontId="36" fillId="0" borderId="41" xfId="0" applyFont="1" applyBorder="1" applyAlignment="1">
      <alignment horizontal="right"/>
    </xf>
    <xf numFmtId="3" fontId="36" fillId="0" borderId="41" xfId="42" applyNumberFormat="1" applyFont="1" applyFill="1" applyBorder="1"/>
    <xf numFmtId="38" fontId="19" fillId="0" borderId="41" xfId="0" applyNumberFormat="1" applyFont="1" applyBorder="1" applyAlignment="1">
      <alignment horizontal="left"/>
    </xf>
    <xf numFmtId="1" fontId="0" fillId="58" borderId="0" xfId="0" applyNumberFormat="1" applyFill="1"/>
    <xf numFmtId="41" fontId="0" fillId="58" borderId="0" xfId="0" applyNumberFormat="1" applyFill="1"/>
    <xf numFmtId="38" fontId="19" fillId="34" borderId="14" xfId="0" applyNumberFormat="1" applyFont="1" applyFill="1" applyBorder="1" applyAlignment="1">
      <alignment horizontal="right" wrapText="1"/>
    </xf>
    <xf numFmtId="38" fontId="19" fillId="34" borderId="0" xfId="0" applyNumberFormat="1" applyFont="1" applyFill="1" applyAlignment="1">
      <alignment horizontal="right" wrapText="1"/>
    </xf>
    <xf numFmtId="0" fontId="19" fillId="39" borderId="21" xfId="0" applyFont="1" applyFill="1" applyBorder="1" applyAlignment="1">
      <alignment horizontal="left" wrapText="1"/>
    </xf>
    <xf numFmtId="0" fontId="19" fillId="40" borderId="20" xfId="0" applyFont="1" applyFill="1" applyBorder="1" applyAlignment="1">
      <alignment horizontal="left" wrapText="1"/>
    </xf>
    <xf numFmtId="0" fontId="19" fillId="40" borderId="19" xfId="0" applyFont="1" applyFill="1" applyBorder="1" applyAlignment="1">
      <alignment horizontal="left" wrapText="1"/>
    </xf>
    <xf numFmtId="0" fontId="19" fillId="41" borderId="14" xfId="0" applyFont="1" applyFill="1" applyBorder="1" applyAlignment="1">
      <alignment horizontal="left" wrapText="1" indent="2"/>
    </xf>
    <xf numFmtId="0" fontId="19" fillId="41" borderId="13" xfId="0" applyFont="1" applyFill="1" applyBorder="1" applyAlignment="1">
      <alignment horizontal="left" wrapText="1" indent="2"/>
    </xf>
    <xf numFmtId="0" fontId="19" fillId="41" borderId="0" xfId="0" applyFont="1" applyFill="1" applyAlignment="1">
      <alignment horizontal="left" wrapText="1" indent="2"/>
    </xf>
    <xf numFmtId="0" fontId="19" fillId="41" borderId="25" xfId="0" applyFont="1" applyFill="1" applyBorder="1" applyAlignment="1">
      <alignment horizontal="left" wrapText="1" indent="2"/>
    </xf>
    <xf numFmtId="38" fontId="19" fillId="34" borderId="23" xfId="0" applyNumberFormat="1" applyFont="1" applyFill="1" applyBorder="1" applyAlignment="1">
      <alignment horizontal="right" wrapText="1"/>
    </xf>
    <xf numFmtId="38" fontId="19" fillId="34" borderId="24" xfId="0" applyNumberFormat="1" applyFont="1" applyFill="1" applyBorder="1" applyAlignment="1">
      <alignment horizontal="right" wrapText="1"/>
    </xf>
    <xf numFmtId="0" fontId="19" fillId="41" borderId="21" xfId="0" applyFont="1" applyFill="1" applyBorder="1" applyAlignment="1">
      <alignment horizontal="left" wrapText="1" indent="2"/>
    </xf>
    <xf numFmtId="0" fontId="19" fillId="41" borderId="22" xfId="0" applyFont="1" applyFill="1" applyBorder="1" applyAlignment="1">
      <alignment horizontal="left" wrapText="1" indent="2"/>
    </xf>
    <xf numFmtId="0" fontId="19" fillId="0" borderId="20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39" borderId="21" xfId="0" applyFont="1" applyFill="1" applyBorder="1" applyAlignment="1">
      <alignment horizontal="left"/>
    </xf>
    <xf numFmtId="0" fontId="19" fillId="40" borderId="20" xfId="0" applyFont="1" applyFill="1" applyBorder="1" applyAlignment="1">
      <alignment horizontal="left"/>
    </xf>
    <xf numFmtId="0" fontId="19" fillId="40" borderId="19" xfId="0" applyFont="1" applyFill="1" applyBorder="1" applyAlignment="1">
      <alignment horizontal="left"/>
    </xf>
    <xf numFmtId="0" fontId="19" fillId="41" borderId="20" xfId="0" applyFont="1" applyFill="1" applyBorder="1" applyAlignment="1">
      <alignment horizontal="left" indent="2"/>
    </xf>
    <xf numFmtId="0" fontId="19" fillId="41" borderId="19" xfId="0" applyFont="1" applyFill="1" applyBorder="1" applyAlignment="1">
      <alignment horizontal="left" indent="2"/>
    </xf>
    <xf numFmtId="0" fontId="19" fillId="48" borderId="20" xfId="0" applyFont="1" applyFill="1" applyBorder="1" applyAlignment="1">
      <alignment horizontal="left"/>
    </xf>
    <xf numFmtId="0" fontId="19" fillId="48" borderId="19" xfId="0" applyFont="1" applyFill="1" applyBorder="1" applyAlignment="1">
      <alignment horizontal="left"/>
    </xf>
    <xf numFmtId="0" fontId="19" fillId="0" borderId="20" xfId="0" applyFont="1" applyBorder="1" applyAlignment="1">
      <alignment horizontal="left" wrapText="1"/>
    </xf>
    <xf numFmtId="0" fontId="19" fillId="48" borderId="20" xfId="0" applyFont="1" applyFill="1" applyBorder="1" applyAlignment="1">
      <alignment horizontal="left" indent="2"/>
    </xf>
    <xf numFmtId="0" fontId="19" fillId="48" borderId="19" xfId="0" applyFont="1" applyFill="1" applyBorder="1" applyAlignment="1">
      <alignment horizontal="left" indent="2"/>
    </xf>
    <xf numFmtId="0" fontId="19" fillId="48" borderId="20" xfId="0" applyFont="1" applyFill="1" applyBorder="1" applyAlignment="1">
      <alignment horizontal="left" wrapText="1"/>
    </xf>
    <xf numFmtId="0" fontId="19" fillId="34" borderId="20" xfId="0" applyFont="1" applyFill="1" applyBorder="1" applyAlignment="1">
      <alignment horizontal="right"/>
    </xf>
    <xf numFmtId="0" fontId="19" fillId="34" borderId="19" xfId="0" applyFont="1" applyFill="1" applyBorder="1" applyAlignment="1">
      <alignment horizontal="right"/>
    </xf>
    <xf numFmtId="0" fontId="20" fillId="33" borderId="15" xfId="0" applyFont="1" applyFill="1" applyBorder="1" applyAlignment="1">
      <alignment horizontal="left"/>
    </xf>
    <xf numFmtId="0" fontId="20" fillId="33" borderId="16" xfId="0" applyFont="1" applyFill="1" applyBorder="1" applyAlignment="1">
      <alignment horizontal="left"/>
    </xf>
    <xf numFmtId="0" fontId="16" fillId="34" borderId="12" xfId="0" applyFont="1" applyFill="1" applyBorder="1" applyAlignment="1">
      <alignment horizontal="left"/>
    </xf>
    <xf numFmtId="0" fontId="16" fillId="34" borderId="11" xfId="0" applyFont="1" applyFill="1" applyBorder="1" applyAlignment="1">
      <alignment horizontal="left"/>
    </xf>
    <xf numFmtId="0" fontId="19" fillId="34" borderId="18" xfId="0" applyFont="1" applyFill="1" applyBorder="1" applyAlignment="1">
      <alignment horizontal="right"/>
    </xf>
    <xf numFmtId="0" fontId="19" fillId="34" borderId="17" xfId="0" applyFont="1" applyFill="1" applyBorder="1" applyAlignment="1">
      <alignment horizontal="right"/>
    </xf>
    <xf numFmtId="0" fontId="19" fillId="0" borderId="41" xfId="0" applyFont="1" applyBorder="1" applyAlignment="1">
      <alignment horizontal="left" indent="2"/>
    </xf>
    <xf numFmtId="0" fontId="19" fillId="0" borderId="41" xfId="0" applyFont="1" applyBorder="1" applyAlignment="1">
      <alignment horizontal="left"/>
    </xf>
    <xf numFmtId="0" fontId="19" fillId="0" borderId="21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9" fillId="0" borderId="41" xfId="0" applyFont="1" applyBorder="1" applyAlignment="1">
      <alignment horizontal="left" wrapText="1"/>
    </xf>
    <xf numFmtId="0" fontId="59" fillId="0" borderId="41" xfId="0" applyFont="1" applyBorder="1" applyAlignment="1">
      <alignment horizontal="left"/>
    </xf>
    <xf numFmtId="0" fontId="19" fillId="0" borderId="41" xfId="0" applyFont="1" applyBorder="1" applyAlignment="1">
      <alignment horizontal="right"/>
    </xf>
    <xf numFmtId="0" fontId="0" fillId="44" borderId="42" xfId="0" applyFill="1" applyBorder="1" applyAlignment="1">
      <alignment horizontal="center" vertical="center" wrapText="1"/>
    </xf>
    <xf numFmtId="0" fontId="0" fillId="44" borderId="44" xfId="0" applyFill="1" applyBorder="1" applyAlignment="1">
      <alignment horizontal="center" vertical="center" wrapText="1"/>
    </xf>
    <xf numFmtId="0" fontId="0" fillId="44" borderId="43" xfId="0" applyFill="1" applyBorder="1" applyAlignment="1">
      <alignment horizontal="center" vertical="center" wrapText="1"/>
    </xf>
    <xf numFmtId="0" fontId="28" fillId="55" borderId="41" xfId="0" applyFont="1" applyFill="1" applyBorder="1" applyAlignment="1">
      <alignment horizontal="center"/>
    </xf>
    <xf numFmtId="38" fontId="13" fillId="55" borderId="42" xfId="0" applyNumberFormat="1" applyFont="1" applyFill="1" applyBorder="1" applyAlignment="1">
      <alignment horizontal="center"/>
    </xf>
    <xf numFmtId="38" fontId="13" fillId="55" borderId="44" xfId="0" applyNumberFormat="1" applyFont="1" applyFill="1" applyBorder="1" applyAlignment="1">
      <alignment horizontal="center"/>
    </xf>
    <xf numFmtId="38" fontId="13" fillId="55" borderId="43" xfId="0" applyNumberFormat="1" applyFont="1" applyFill="1" applyBorder="1" applyAlignment="1">
      <alignment horizontal="center"/>
    </xf>
    <xf numFmtId="38" fontId="13" fillId="57" borderId="42" xfId="0" applyNumberFormat="1" applyFont="1" applyFill="1" applyBorder="1" applyAlignment="1">
      <alignment horizontal="center"/>
    </xf>
    <xf numFmtId="38" fontId="13" fillId="57" borderId="44" xfId="0" applyNumberFormat="1" applyFont="1" applyFill="1" applyBorder="1" applyAlignment="1">
      <alignment horizontal="center"/>
    </xf>
    <xf numFmtId="38" fontId="13" fillId="57" borderId="43" xfId="0" applyNumberFormat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6" fillId="58" borderId="30" xfId="0" applyFont="1" applyFill="1" applyBorder="1" applyAlignment="1">
      <alignment horizontal="left"/>
    </xf>
    <xf numFmtId="0" fontId="16" fillId="58" borderId="29" xfId="0" applyFont="1" applyFill="1" applyBorder="1" applyAlignment="1">
      <alignment horizontal="left"/>
    </xf>
    <xf numFmtId="0" fontId="36" fillId="58" borderId="26" xfId="0" applyFont="1" applyFill="1" applyBorder="1" applyAlignment="1">
      <alignment horizontal="center"/>
    </xf>
    <xf numFmtId="0" fontId="53" fillId="55" borderId="26" xfId="0" applyFont="1" applyFill="1" applyBorder="1" applyAlignment="1">
      <alignment horizontal="center" vertical="center"/>
    </xf>
    <xf numFmtId="0" fontId="53" fillId="55" borderId="36" xfId="0" applyFont="1" applyFill="1" applyBorder="1" applyAlignment="1">
      <alignment horizontal="center" vertical="center"/>
    </xf>
    <xf numFmtId="0" fontId="53" fillId="55" borderId="37" xfId="0" applyFont="1" applyFill="1" applyBorder="1" applyAlignment="1">
      <alignment horizontal="center" vertical="center"/>
    </xf>
    <xf numFmtId="0" fontId="53" fillId="55" borderId="38" xfId="0" applyFont="1" applyFill="1" applyBorder="1" applyAlignment="1">
      <alignment horizontal="center" vertical="center"/>
    </xf>
    <xf numFmtId="0" fontId="53" fillId="55" borderId="29" xfId="0" applyFont="1" applyFill="1" applyBorder="1" applyAlignment="1">
      <alignment horizontal="center" vertical="center"/>
    </xf>
    <xf numFmtId="0" fontId="53" fillId="55" borderId="31" xfId="0" applyFont="1" applyFill="1" applyBorder="1" applyAlignment="1">
      <alignment horizontal="center" vertical="center"/>
    </xf>
    <xf numFmtId="0" fontId="53" fillId="55" borderId="32" xfId="0" applyFont="1" applyFill="1" applyBorder="1" applyAlignment="1">
      <alignment horizontal="center" vertical="center"/>
    </xf>
    <xf numFmtId="0" fontId="53" fillId="55" borderId="27" xfId="0" applyFont="1" applyFill="1" applyBorder="1" applyAlignment="1">
      <alignment horizontal="center" vertical="center"/>
    </xf>
    <xf numFmtId="0" fontId="53" fillId="55" borderId="35" xfId="0" applyFont="1" applyFill="1" applyBorder="1" applyAlignment="1">
      <alignment horizontal="center" vertical="center"/>
    </xf>
    <xf numFmtId="0" fontId="53" fillId="55" borderId="33" xfId="0" applyFont="1" applyFill="1" applyBorder="1" applyAlignment="1">
      <alignment horizontal="center" vertical="center"/>
    </xf>
    <xf numFmtId="0" fontId="53" fillId="55" borderId="28" xfId="0" applyFont="1" applyFill="1" applyBorder="1" applyAlignment="1">
      <alignment horizontal="center" vertical="center"/>
    </xf>
    <xf numFmtId="0" fontId="43" fillId="45" borderId="26" xfId="0" applyFont="1" applyFill="1" applyBorder="1" applyAlignment="1">
      <alignment horizontal="center"/>
    </xf>
    <xf numFmtId="0" fontId="44" fillId="58" borderId="0" xfId="0" applyFont="1" applyFill="1" applyAlignment="1">
      <alignment wrapText="1"/>
    </xf>
    <xf numFmtId="0" fontId="0" fillId="58" borderId="0" xfId="0" applyFill="1"/>
    <xf numFmtId="38" fontId="16" fillId="60" borderId="35" xfId="43" applyNumberFormat="1" applyFont="1" applyFill="1" applyBorder="1" applyAlignment="1">
      <alignment horizontal="center" vertical="center"/>
    </xf>
    <xf numFmtId="38" fontId="16" fillId="60" borderId="28" xfId="43" applyNumberFormat="1" applyFont="1" applyFill="1" applyBorder="1" applyAlignment="1">
      <alignment horizontal="center" vertical="center"/>
    </xf>
    <xf numFmtId="0" fontId="0" fillId="58" borderId="26" xfId="0" applyFill="1" applyBorder="1" applyAlignment="1">
      <alignment horizontal="left" vertical="top" wrapText="1"/>
    </xf>
    <xf numFmtId="0" fontId="0" fillId="58" borderId="26" xfId="0" applyFill="1" applyBorder="1" applyAlignment="1">
      <alignment horizontal="left" vertical="top"/>
    </xf>
    <xf numFmtId="181" fontId="13" fillId="57" borderId="26" xfId="0" applyNumberFormat="1" applyFont="1" applyFill="1" applyBorder="1" applyAlignment="1">
      <alignment horizontal="center"/>
    </xf>
    <xf numFmtId="0" fontId="13" fillId="57" borderId="31" xfId="0" applyFont="1" applyFill="1" applyBorder="1" applyAlignment="1">
      <alignment horizontal="center"/>
    </xf>
    <xf numFmtId="0" fontId="13" fillId="57" borderId="32" xfId="0" applyFont="1" applyFill="1" applyBorder="1" applyAlignment="1">
      <alignment horizontal="center"/>
    </xf>
    <xf numFmtId="0" fontId="13" fillId="57" borderId="27" xfId="0" applyFont="1" applyFill="1" applyBorder="1" applyAlignment="1">
      <alignment horizontal="center"/>
    </xf>
    <xf numFmtId="0" fontId="0" fillId="49" borderId="0" xfId="0" applyFill="1" applyAlignment="1">
      <alignment horizontal="center"/>
    </xf>
    <xf numFmtId="0" fontId="13" fillId="55" borderId="26" xfId="0" applyFont="1" applyFill="1" applyBorder="1" applyAlignment="1">
      <alignment vertical="center" wrapText="1"/>
    </xf>
    <xf numFmtId="0" fontId="17" fillId="55" borderId="26" xfId="0" applyFont="1" applyFill="1" applyBorder="1" applyAlignment="1">
      <alignment vertical="center"/>
    </xf>
    <xf numFmtId="0" fontId="13" fillId="57" borderId="26" xfId="0" applyFont="1" applyFill="1" applyBorder="1" applyAlignment="1">
      <alignment horizontal="center"/>
    </xf>
    <xf numFmtId="0" fontId="13" fillId="54" borderId="26" xfId="0" applyFont="1" applyFill="1" applyBorder="1" applyAlignment="1">
      <alignment horizontal="center"/>
    </xf>
    <xf numFmtId="0" fontId="0" fillId="0" borderId="0" xfId="0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3" builtinId="6"/>
    <cellStyle name="Currency [0]" xfId="44" builtinId="7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FB946"/>
      <color rgb="FF034EA2"/>
      <color rgb="FFF47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CAPM!$C$1</c:f>
              <c:strCache>
                <c:ptCount val="1"/>
                <c:pt idx="0">
                  <c:v>FRT</c:v>
                </c:pt>
              </c:strCache>
            </c:strRef>
          </c:tx>
          <c:spPr>
            <a:ln w="28575" cap="rnd">
              <a:solidFill>
                <a:srgbClr val="034EA2"/>
              </a:solidFill>
              <a:round/>
            </a:ln>
            <a:effectLst/>
          </c:spPr>
          <c:marker>
            <c:symbol val="none"/>
          </c:marker>
          <c:val>
            <c:numRef>
              <c:f>CAPM!$C$2:$C$67</c:f>
              <c:numCache>
                <c:formatCode>#,##0;\-#,##0;#,##0;"--"</c:formatCode>
                <c:ptCount val="66"/>
                <c:pt idx="0">
                  <c:v>44455.329742000002</c:v>
                </c:pt>
                <c:pt idx="1">
                  <c:v>42566.345737000003</c:v>
                </c:pt>
                <c:pt idx="2">
                  <c:v>38140.199166999999</c:v>
                </c:pt>
                <c:pt idx="3">
                  <c:v>35220.825897000002</c:v>
                </c:pt>
                <c:pt idx="4">
                  <c:v>35974.212548000003</c:v>
                </c:pt>
                <c:pt idx="5">
                  <c:v>35832.952551000002</c:v>
                </c:pt>
                <c:pt idx="6">
                  <c:v>34232.005919000003</c:v>
                </c:pt>
                <c:pt idx="7">
                  <c:v>34373.265915999997</c:v>
                </c:pt>
                <c:pt idx="8">
                  <c:v>33855.312594000003</c:v>
                </c:pt>
                <c:pt idx="9">
                  <c:v>32207.279296000001</c:v>
                </c:pt>
                <c:pt idx="10">
                  <c:v>28958.299367</c:v>
                </c:pt>
                <c:pt idx="11">
                  <c:v>23402.072821999998</c:v>
                </c:pt>
                <c:pt idx="12">
                  <c:v>24108.372807</c:v>
                </c:pt>
                <c:pt idx="13">
                  <c:v>23872.939479000001</c:v>
                </c:pt>
                <c:pt idx="14">
                  <c:v>30704.074768999999</c:v>
                </c:pt>
                <c:pt idx="15">
                  <c:v>26482.271109000001</c:v>
                </c:pt>
                <c:pt idx="16">
                  <c:v>24275.415183000001</c:v>
                </c:pt>
                <c:pt idx="17">
                  <c:v>24992.643359000002</c:v>
                </c:pt>
                <c:pt idx="18">
                  <c:v>22537.516142</c:v>
                </c:pt>
                <c:pt idx="19">
                  <c:v>14841.106100999999</c:v>
                </c:pt>
                <c:pt idx="20">
                  <c:v>11613.579309000001</c:v>
                </c:pt>
                <c:pt idx="21">
                  <c:v>9461.8947819999994</c:v>
                </c:pt>
                <c:pt idx="22">
                  <c:v>11613.579309000001</c:v>
                </c:pt>
                <c:pt idx="23">
                  <c:v>6151.610893</c:v>
                </c:pt>
                <c:pt idx="24">
                  <c:v>11723.922105</c:v>
                </c:pt>
                <c:pt idx="25">
                  <c:v>14454.906314</c:v>
                </c:pt>
                <c:pt idx="26">
                  <c:v>12137.707592000001</c:v>
                </c:pt>
                <c:pt idx="27">
                  <c:v>11254.965221</c:v>
                </c:pt>
                <c:pt idx="28">
                  <c:v>13691.943364999999</c:v>
                </c:pt>
                <c:pt idx="29">
                  <c:v>13807.001713</c:v>
                </c:pt>
                <c:pt idx="30">
                  <c:v>11994.832737999999</c:v>
                </c:pt>
                <c:pt idx="31">
                  <c:v>13663.178778</c:v>
                </c:pt>
                <c:pt idx="32">
                  <c:v>18409.335617000001</c:v>
                </c:pt>
                <c:pt idx="33">
                  <c:v>15072.643536</c:v>
                </c:pt>
                <c:pt idx="34">
                  <c:v>16108.168664999999</c:v>
                </c:pt>
                <c:pt idx="35">
                  <c:v>17517.633422999999</c:v>
                </c:pt>
                <c:pt idx="36">
                  <c:v>15532.876926999999</c:v>
                </c:pt>
                <c:pt idx="37">
                  <c:v>14324.764277</c:v>
                </c:pt>
                <c:pt idx="38">
                  <c:v>15590.4061</c:v>
                </c:pt>
                <c:pt idx="39">
                  <c:v>21544.675588999999</c:v>
                </c:pt>
                <c:pt idx="40">
                  <c:v>23702.019606999998</c:v>
                </c:pt>
                <c:pt idx="41">
                  <c:v>27355.122143000001</c:v>
                </c:pt>
                <c:pt idx="42">
                  <c:v>29972.699551000002</c:v>
                </c:pt>
                <c:pt idx="43">
                  <c:v>33366.920805000002</c:v>
                </c:pt>
                <c:pt idx="44">
                  <c:v>57644.232150000003</c:v>
                </c:pt>
                <c:pt idx="45">
                  <c:v>50453.085424999997</c:v>
                </c:pt>
                <c:pt idx="46">
                  <c:v>70358.179560999997</c:v>
                </c:pt>
                <c:pt idx="47">
                  <c:v>86351.289877999996</c:v>
                </c:pt>
                <c:pt idx="48">
                  <c:v>90033.157001</c:v>
                </c:pt>
                <c:pt idx="49">
                  <c:v>71278.646341</c:v>
                </c:pt>
                <c:pt idx="50">
                  <c:v>78699.870412000004</c:v>
                </c:pt>
                <c:pt idx="51">
                  <c:v>62131.476641000001</c:v>
                </c:pt>
                <c:pt idx="52">
                  <c:v>78527.282976999995</c:v>
                </c:pt>
                <c:pt idx="53">
                  <c:v>63253.294969000002</c:v>
                </c:pt>
                <c:pt idx="54">
                  <c:v>70588.260962</c:v>
                </c:pt>
                <c:pt idx="55">
                  <c:v>61268.539465000002</c:v>
                </c:pt>
                <c:pt idx="56">
                  <c:v>59542.665114000003</c:v>
                </c:pt>
                <c:pt idx="57">
                  <c:v>63684.763556999998</c:v>
                </c:pt>
                <c:pt idx="58">
                  <c:v>59542.665114000003</c:v>
                </c:pt>
                <c:pt idx="59">
                  <c:v>52639.167710000002</c:v>
                </c:pt>
                <c:pt idx="60">
                  <c:v>55055.391800999998</c:v>
                </c:pt>
                <c:pt idx="61">
                  <c:v>54969.098083999997</c:v>
                </c:pt>
                <c:pt idx="62">
                  <c:v>71600</c:v>
                </c:pt>
                <c:pt idx="63">
                  <c:v>76400</c:v>
                </c:pt>
                <c:pt idx="64">
                  <c:v>83500</c:v>
                </c:pt>
                <c:pt idx="65">
                  <c:v>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1-3642-8FBB-82747B97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14207"/>
        <c:axId val="1504775951"/>
      </c:lineChart>
      <c:lineChart>
        <c:grouping val="standard"/>
        <c:varyColors val="0"/>
        <c:ser>
          <c:idx val="0"/>
          <c:order val="0"/>
          <c:tx>
            <c:strRef>
              <c:f>CAPM!$B$1</c:f>
              <c:strCache>
                <c:ptCount val="1"/>
                <c:pt idx="0">
                  <c:v>VN Index</c:v>
                </c:pt>
              </c:strCache>
            </c:strRef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cat>
            <c:numRef>
              <c:f>CAPM!$A$2:$A$67</c:f>
              <c:numCache>
                <c:formatCode>dd\-mmm\-yyyy</c:formatCode>
                <c:ptCount val="66"/>
                <c:pt idx="0">
                  <c:v>43220</c:v>
                </c:pt>
                <c:pt idx="1">
                  <c:v>43251</c:v>
                </c:pt>
                <c:pt idx="2">
                  <c:v>43281</c:v>
                </c:pt>
                <c:pt idx="3">
                  <c:v>43312</c:v>
                </c:pt>
                <c:pt idx="4">
                  <c:v>43343</c:v>
                </c:pt>
                <c:pt idx="5">
                  <c:v>43373</c:v>
                </c:pt>
                <c:pt idx="6">
                  <c:v>43404</c:v>
                </c:pt>
                <c:pt idx="7">
                  <c:v>43434</c:v>
                </c:pt>
                <c:pt idx="8">
                  <c:v>43465</c:v>
                </c:pt>
                <c:pt idx="9">
                  <c:v>43496</c:v>
                </c:pt>
                <c:pt idx="10">
                  <c:v>43524</c:v>
                </c:pt>
                <c:pt idx="11">
                  <c:v>43555</c:v>
                </c:pt>
                <c:pt idx="12">
                  <c:v>43585</c:v>
                </c:pt>
                <c:pt idx="13">
                  <c:v>43616</c:v>
                </c:pt>
                <c:pt idx="14">
                  <c:v>43646</c:v>
                </c:pt>
                <c:pt idx="15">
                  <c:v>43677</c:v>
                </c:pt>
                <c:pt idx="16">
                  <c:v>43708</c:v>
                </c:pt>
                <c:pt idx="17">
                  <c:v>43738</c:v>
                </c:pt>
                <c:pt idx="18">
                  <c:v>43769</c:v>
                </c:pt>
                <c:pt idx="19">
                  <c:v>43799</c:v>
                </c:pt>
                <c:pt idx="20">
                  <c:v>43830</c:v>
                </c:pt>
                <c:pt idx="21">
                  <c:v>43861</c:v>
                </c:pt>
                <c:pt idx="22">
                  <c:v>43890</c:v>
                </c:pt>
                <c:pt idx="23">
                  <c:v>43921</c:v>
                </c:pt>
                <c:pt idx="24">
                  <c:v>43951</c:v>
                </c:pt>
                <c:pt idx="25">
                  <c:v>43982</c:v>
                </c:pt>
                <c:pt idx="26">
                  <c:v>44012</c:v>
                </c:pt>
                <c:pt idx="27">
                  <c:v>44043</c:v>
                </c:pt>
                <c:pt idx="28">
                  <c:v>44074</c:v>
                </c:pt>
                <c:pt idx="29">
                  <c:v>44104</c:v>
                </c:pt>
                <c:pt idx="30">
                  <c:v>44135</c:v>
                </c:pt>
                <c:pt idx="31">
                  <c:v>44165</c:v>
                </c:pt>
                <c:pt idx="32">
                  <c:v>44196</c:v>
                </c:pt>
                <c:pt idx="33">
                  <c:v>44227</c:v>
                </c:pt>
                <c:pt idx="34">
                  <c:v>44255</c:v>
                </c:pt>
                <c:pt idx="35">
                  <c:v>44286</c:v>
                </c:pt>
                <c:pt idx="36">
                  <c:v>44316</c:v>
                </c:pt>
                <c:pt idx="37">
                  <c:v>44347</c:v>
                </c:pt>
                <c:pt idx="38">
                  <c:v>44377</c:v>
                </c:pt>
                <c:pt idx="39">
                  <c:v>44408</c:v>
                </c:pt>
                <c:pt idx="40">
                  <c:v>44439</c:v>
                </c:pt>
                <c:pt idx="41">
                  <c:v>44469</c:v>
                </c:pt>
                <c:pt idx="42">
                  <c:v>44500</c:v>
                </c:pt>
                <c:pt idx="43">
                  <c:v>44530</c:v>
                </c:pt>
                <c:pt idx="44">
                  <c:v>44561</c:v>
                </c:pt>
                <c:pt idx="45">
                  <c:v>44592</c:v>
                </c:pt>
                <c:pt idx="46">
                  <c:v>44620</c:v>
                </c:pt>
                <c:pt idx="47">
                  <c:v>44651</c:v>
                </c:pt>
                <c:pt idx="48">
                  <c:v>44681</c:v>
                </c:pt>
                <c:pt idx="49">
                  <c:v>44712</c:v>
                </c:pt>
                <c:pt idx="50">
                  <c:v>44742</c:v>
                </c:pt>
                <c:pt idx="51">
                  <c:v>44773</c:v>
                </c:pt>
                <c:pt idx="52">
                  <c:v>44804</c:v>
                </c:pt>
                <c:pt idx="53">
                  <c:v>44834</c:v>
                </c:pt>
                <c:pt idx="54">
                  <c:v>44865</c:v>
                </c:pt>
                <c:pt idx="55">
                  <c:v>44895</c:v>
                </c:pt>
                <c:pt idx="56">
                  <c:v>44926</c:v>
                </c:pt>
                <c:pt idx="57">
                  <c:v>44957</c:v>
                </c:pt>
                <c:pt idx="58">
                  <c:v>44985</c:v>
                </c:pt>
                <c:pt idx="59">
                  <c:v>45016</c:v>
                </c:pt>
                <c:pt idx="60">
                  <c:v>45046</c:v>
                </c:pt>
                <c:pt idx="61">
                  <c:v>45077</c:v>
                </c:pt>
                <c:pt idx="62">
                  <c:v>45107</c:v>
                </c:pt>
                <c:pt idx="63">
                  <c:v>45138</c:v>
                </c:pt>
                <c:pt idx="64">
                  <c:v>45169</c:v>
                </c:pt>
                <c:pt idx="65">
                  <c:v>45199</c:v>
                </c:pt>
              </c:numCache>
            </c:numRef>
          </c:cat>
          <c:val>
            <c:numRef>
              <c:f>CAPM!$B$2:$B$67</c:f>
              <c:numCache>
                <c:formatCode>#,##0.00;\-#,##0.00;#,##0.00;"--"</c:formatCode>
                <c:ptCount val="66"/>
                <c:pt idx="0">
                  <c:v>1050.26</c:v>
                </c:pt>
                <c:pt idx="1">
                  <c:v>971.25</c:v>
                </c:pt>
                <c:pt idx="2">
                  <c:v>960.78</c:v>
                </c:pt>
                <c:pt idx="3">
                  <c:v>956.39</c:v>
                </c:pt>
                <c:pt idx="4">
                  <c:v>989.54</c:v>
                </c:pt>
                <c:pt idx="5">
                  <c:v>1017.13</c:v>
                </c:pt>
                <c:pt idx="6">
                  <c:v>914.76</c:v>
                </c:pt>
                <c:pt idx="7">
                  <c:v>926.54</c:v>
                </c:pt>
                <c:pt idx="8">
                  <c:v>892.54</c:v>
                </c:pt>
                <c:pt idx="9">
                  <c:v>910.65</c:v>
                </c:pt>
                <c:pt idx="10">
                  <c:v>965.47</c:v>
                </c:pt>
                <c:pt idx="11">
                  <c:v>980.76</c:v>
                </c:pt>
                <c:pt idx="12">
                  <c:v>979.64</c:v>
                </c:pt>
                <c:pt idx="13">
                  <c:v>959.88</c:v>
                </c:pt>
                <c:pt idx="14">
                  <c:v>949.94</c:v>
                </c:pt>
                <c:pt idx="15">
                  <c:v>991.66</c:v>
                </c:pt>
                <c:pt idx="16">
                  <c:v>984.06</c:v>
                </c:pt>
                <c:pt idx="17">
                  <c:v>996.56</c:v>
                </c:pt>
                <c:pt idx="18">
                  <c:v>998.82</c:v>
                </c:pt>
                <c:pt idx="19">
                  <c:v>970.75</c:v>
                </c:pt>
                <c:pt idx="20">
                  <c:v>960.99</c:v>
                </c:pt>
                <c:pt idx="21">
                  <c:v>936.62</c:v>
                </c:pt>
                <c:pt idx="22">
                  <c:v>882.19</c:v>
                </c:pt>
                <c:pt idx="23">
                  <c:v>662.53</c:v>
                </c:pt>
                <c:pt idx="24">
                  <c:v>769.11</c:v>
                </c:pt>
                <c:pt idx="25">
                  <c:v>864.47</c:v>
                </c:pt>
                <c:pt idx="26">
                  <c:v>825.11</c:v>
                </c:pt>
                <c:pt idx="27">
                  <c:v>798.39</c:v>
                </c:pt>
                <c:pt idx="28">
                  <c:v>881.65</c:v>
                </c:pt>
                <c:pt idx="29">
                  <c:v>905.21</c:v>
                </c:pt>
                <c:pt idx="30">
                  <c:v>925.47</c:v>
                </c:pt>
                <c:pt idx="31">
                  <c:v>1003.08</c:v>
                </c:pt>
                <c:pt idx="32">
                  <c:v>1103.8699999999999</c:v>
                </c:pt>
                <c:pt idx="33">
                  <c:v>1056.6099999999999</c:v>
                </c:pt>
                <c:pt idx="34">
                  <c:v>1168.47</c:v>
                </c:pt>
                <c:pt idx="35">
                  <c:v>1191.44</c:v>
                </c:pt>
                <c:pt idx="36">
                  <c:v>1239.3900000000001</c:v>
                </c:pt>
                <c:pt idx="37">
                  <c:v>1328.05</c:v>
                </c:pt>
                <c:pt idx="38">
                  <c:v>1408.55</c:v>
                </c:pt>
                <c:pt idx="39">
                  <c:v>1310.05</c:v>
                </c:pt>
                <c:pt idx="40">
                  <c:v>1331.47</c:v>
                </c:pt>
                <c:pt idx="41">
                  <c:v>1342.06</c:v>
                </c:pt>
                <c:pt idx="42">
                  <c:v>1444.27</c:v>
                </c:pt>
                <c:pt idx="43">
                  <c:v>1478.44</c:v>
                </c:pt>
                <c:pt idx="44">
                  <c:v>1498.28</c:v>
                </c:pt>
                <c:pt idx="45">
                  <c:v>1478.96</c:v>
                </c:pt>
                <c:pt idx="46">
                  <c:v>1490.13</c:v>
                </c:pt>
                <c:pt idx="47">
                  <c:v>1492.15</c:v>
                </c:pt>
                <c:pt idx="48">
                  <c:v>1366.8</c:v>
                </c:pt>
                <c:pt idx="49">
                  <c:v>1292.68</c:v>
                </c:pt>
                <c:pt idx="50">
                  <c:v>1197.5999999999999</c:v>
                </c:pt>
                <c:pt idx="51">
                  <c:v>1206.33</c:v>
                </c:pt>
                <c:pt idx="52">
                  <c:v>1280.51</c:v>
                </c:pt>
                <c:pt idx="53">
                  <c:v>1132.1099999999999</c:v>
                </c:pt>
                <c:pt idx="54">
                  <c:v>1027.94</c:v>
                </c:pt>
                <c:pt idx="55">
                  <c:v>1048.42</c:v>
                </c:pt>
                <c:pt idx="56">
                  <c:v>1007.09</c:v>
                </c:pt>
                <c:pt idx="57">
                  <c:v>1111.18</c:v>
                </c:pt>
                <c:pt idx="58">
                  <c:v>1024.68</c:v>
                </c:pt>
                <c:pt idx="59">
                  <c:v>1064.6400000000001</c:v>
                </c:pt>
                <c:pt idx="60">
                  <c:v>1049.1199999999999</c:v>
                </c:pt>
                <c:pt idx="61">
                  <c:v>1075.17</c:v>
                </c:pt>
                <c:pt idx="62">
                  <c:v>1120.18</c:v>
                </c:pt>
                <c:pt idx="63">
                  <c:v>1222.9000000000001</c:v>
                </c:pt>
                <c:pt idx="64">
                  <c:v>1224.05</c:v>
                </c:pt>
                <c:pt idx="65">
                  <c:v>1154.1500000000001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1-3642-8FBB-82747B97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59679"/>
        <c:axId val="1156875711"/>
      </c:lineChart>
      <c:catAx>
        <c:axId val="112014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4775951"/>
        <c:crosses val="autoZero"/>
        <c:auto val="1"/>
        <c:lblAlgn val="ctr"/>
        <c:lblOffset val="100"/>
        <c:noMultiLvlLbl val="0"/>
      </c:catAx>
      <c:valAx>
        <c:axId val="1504775951"/>
        <c:scaling>
          <c:orientation val="minMax"/>
        </c:scaling>
        <c:delete val="0"/>
        <c:axPos val="l"/>
        <c:numFmt formatCode="#,##0;\-#,##0;#,##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014207"/>
        <c:crosses val="autoZero"/>
        <c:crossBetween val="between"/>
      </c:valAx>
      <c:valAx>
        <c:axId val="1156875711"/>
        <c:scaling>
          <c:orientation val="minMax"/>
        </c:scaling>
        <c:delete val="0"/>
        <c:axPos val="r"/>
        <c:numFmt formatCode="#,##0.00;\-#,##0.00;#,##0.00;&quot;-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56859679"/>
        <c:crosses val="max"/>
        <c:crossBetween val="between"/>
      </c:valAx>
      <c:dateAx>
        <c:axId val="1156859679"/>
        <c:scaling>
          <c:orientation val="minMax"/>
        </c:scaling>
        <c:delete val="1"/>
        <c:axPos val="b"/>
        <c:numFmt formatCode="dd\-mmm\-yyyy" sourceLinked="1"/>
        <c:majorTickMark val="out"/>
        <c:minorTickMark val="none"/>
        <c:tickLblPos val="nextTo"/>
        <c:crossAx val="11568757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v>FPT Shop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breakdown'!$B$6:$F$6</c:f>
              <c:numCache>
                <c:formatCode>#,##0_);[Red]\(#,##0\)</c:formatCode>
                <c:ptCount val="5"/>
                <c:pt idx="0">
                  <c:v>15298357</c:v>
                </c:pt>
                <c:pt idx="1">
                  <c:v>16123176</c:v>
                </c:pt>
                <c:pt idx="2">
                  <c:v>13475727</c:v>
                </c:pt>
                <c:pt idx="3">
                  <c:v>18558083</c:v>
                </c:pt>
                <c:pt idx="4">
                  <c:v>20688829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3-5E44-A1C7-8E90F64A94DB}"/>
            </c:ext>
          </c:extLst>
        </c:ser>
        <c:ser>
          <c:idx val="1"/>
          <c:order val="1"/>
          <c:tx>
            <c:v>FPT Long chau</c:v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breakdown'!$B$12:$F$12</c:f>
              <c:numCache>
                <c:formatCode>#,##0_);[Red]\(#,##0\)</c:formatCode>
                <c:ptCount val="5"/>
                <c:pt idx="0">
                  <c:v>345000</c:v>
                </c:pt>
                <c:pt idx="1">
                  <c:v>510783</c:v>
                </c:pt>
                <c:pt idx="2">
                  <c:v>1190840</c:v>
                </c:pt>
                <c:pt idx="3">
                  <c:v>3977188</c:v>
                </c:pt>
                <c:pt idx="4">
                  <c:v>9595942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3-5E44-A1C7-8E90F64A9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4334511"/>
        <c:axId val="38954175"/>
      </c:barChart>
      <c:catAx>
        <c:axId val="3643345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8954175"/>
        <c:crosses val="autoZero"/>
        <c:auto val="1"/>
        <c:lblAlgn val="ctr"/>
        <c:lblOffset val="100"/>
        <c:noMultiLvlLbl val="0"/>
      </c:catAx>
      <c:valAx>
        <c:axId val="3895417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33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'Exhibit '!$A$69</c:f>
              <c:strCache>
                <c:ptCount val="1"/>
                <c:pt idx="0">
                  <c:v>Offline 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'Exhibit '!$B$68:$F$68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'!$B$69:$F$69</c:f>
              <c:numCache>
                <c:formatCode>General</c:formatCode>
                <c:ptCount val="5"/>
                <c:pt idx="0">
                  <c:v>84</c:v>
                </c:pt>
                <c:pt idx="1">
                  <c:v>76.599999999999994</c:v>
                </c:pt>
                <c:pt idx="2">
                  <c:v>65</c:v>
                </c:pt>
                <c:pt idx="3">
                  <c:v>72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3-B643-A97A-85BE8ACF14C5}"/>
            </c:ext>
          </c:extLst>
        </c:ser>
        <c:ser>
          <c:idx val="1"/>
          <c:order val="1"/>
          <c:tx>
            <c:strRef>
              <c:f>'Exhibit '!$A$70</c:f>
              <c:strCache>
                <c:ptCount val="1"/>
                <c:pt idx="0">
                  <c:v>Online 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'Exhibit '!$B$68:$F$68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'!$B$70:$F$70</c:f>
              <c:numCache>
                <c:formatCode>General</c:formatCode>
                <c:ptCount val="5"/>
                <c:pt idx="0">
                  <c:v>16</c:v>
                </c:pt>
                <c:pt idx="1">
                  <c:v>23.4</c:v>
                </c:pt>
                <c:pt idx="2">
                  <c:v>35</c:v>
                </c:pt>
                <c:pt idx="3">
                  <c:v>28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3-B643-A97A-85BE8ACF1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638207"/>
        <c:axId val="1505643055"/>
      </c:barChart>
      <c:catAx>
        <c:axId val="8463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5643055"/>
        <c:crosses val="autoZero"/>
        <c:auto val="1"/>
        <c:lblAlgn val="ctr"/>
        <c:lblOffset val="100"/>
        <c:noMultiLvlLbl val="0"/>
      </c:catAx>
      <c:valAx>
        <c:axId val="15056430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463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breakdown'!$B$3:$F$3</c:f>
              <c:numCache>
                <c:formatCode>#,##0_);[Red]\(#,##0\)</c:formatCode>
                <c:ptCount val="5"/>
                <c:pt idx="0">
                  <c:v>15298335</c:v>
                </c:pt>
                <c:pt idx="1">
                  <c:v>16633960</c:v>
                </c:pt>
                <c:pt idx="2">
                  <c:v>14661417</c:v>
                </c:pt>
                <c:pt idx="3">
                  <c:v>22494961</c:v>
                </c:pt>
                <c:pt idx="4">
                  <c:v>30165801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D-0942-B88F-F6CAD75C6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903855"/>
        <c:axId val="363934335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'Revenue breakdown'!$B$4:$F$4</c:f>
              <c:numCache>
                <c:formatCode>0.00%</c:formatCode>
                <c:ptCount val="5"/>
                <c:pt idx="0">
                  <c:v>0.16367988018117349</c:v>
                </c:pt>
                <c:pt idx="1">
                  <c:v>8.7305252499700128E-2</c:v>
                </c:pt>
                <c:pt idx="2">
                  <c:v>-0.11858529177658236</c:v>
                </c:pt>
                <c:pt idx="3">
                  <c:v>0.53429651445013804</c:v>
                </c:pt>
                <c:pt idx="4">
                  <c:v>0.34100259164708041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D-0942-B88F-F6CAD75C6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902128"/>
        <c:axId val="1701602432"/>
      </c:lineChart>
      <c:catAx>
        <c:axId val="5039038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3934335"/>
        <c:crosses val="autoZero"/>
        <c:auto val="1"/>
        <c:lblAlgn val="ctr"/>
        <c:lblOffset val="100"/>
        <c:noMultiLvlLbl val="0"/>
      </c:catAx>
      <c:valAx>
        <c:axId val="36393433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03903855"/>
        <c:crosses val="autoZero"/>
        <c:crossBetween val="between"/>
      </c:valAx>
      <c:valAx>
        <c:axId val="170160243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2902128"/>
        <c:crosses val="max"/>
        <c:crossBetween val="between"/>
      </c:valAx>
      <c:catAx>
        <c:axId val="19229021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701602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FPT Shop Revenue 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breakdown'!$B$6:$F$6</c:f>
              <c:numCache>
                <c:formatCode>#,##0_);[Red]\(#,##0\)</c:formatCode>
                <c:ptCount val="5"/>
                <c:pt idx="0">
                  <c:v>15298357</c:v>
                </c:pt>
                <c:pt idx="1">
                  <c:v>16123176</c:v>
                </c:pt>
                <c:pt idx="2">
                  <c:v>13475727</c:v>
                </c:pt>
                <c:pt idx="3">
                  <c:v>18558083</c:v>
                </c:pt>
                <c:pt idx="4">
                  <c:v>20688829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2-2446-A3EC-ECB10984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947983"/>
        <c:axId val="417005695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breakdown'!$B$7:$F$7</c:f>
              <c:numCache>
                <c:formatCode>0.00%</c:formatCode>
                <c:ptCount val="5"/>
                <c:pt idx="1">
                  <c:v>5.3915528314576529E-2</c:v>
                </c:pt>
                <c:pt idx="2">
                  <c:v>-0.16420145757882937</c:v>
                </c:pt>
                <c:pt idx="3">
                  <c:v>0.37714892858841681</c:v>
                </c:pt>
                <c:pt idx="4">
                  <c:v>0.11481498385366636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32-2446-A3EC-ECB10984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502768"/>
        <c:axId val="1035116639"/>
      </c:lineChart>
      <c:catAx>
        <c:axId val="1899479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17005695"/>
        <c:crosses val="autoZero"/>
        <c:auto val="1"/>
        <c:lblAlgn val="ctr"/>
        <c:lblOffset val="100"/>
        <c:noMultiLvlLbl val="0"/>
      </c:catAx>
      <c:valAx>
        <c:axId val="41700569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9947983"/>
        <c:crosses val="autoZero"/>
        <c:crossBetween val="between"/>
      </c:valAx>
      <c:valAx>
        <c:axId val="103511663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94502768"/>
        <c:crosses val="max"/>
        <c:crossBetween val="between"/>
      </c:valAx>
      <c:catAx>
        <c:axId val="89450276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35116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Long Chau Revenue 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breakdown'!$B$12:$F$12</c:f>
              <c:numCache>
                <c:formatCode>#,##0_);[Red]\(#,##0\)</c:formatCode>
                <c:ptCount val="5"/>
                <c:pt idx="0">
                  <c:v>345000</c:v>
                </c:pt>
                <c:pt idx="1">
                  <c:v>510783</c:v>
                </c:pt>
                <c:pt idx="2">
                  <c:v>1190840</c:v>
                </c:pt>
                <c:pt idx="3">
                  <c:v>3977188</c:v>
                </c:pt>
                <c:pt idx="4">
                  <c:v>9595942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0-4043-BAA2-C5944B8BEB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'Revenue breakdown'!$B$13:$F$13</c:f>
            </c:numRef>
          </c:val>
          <c:extLst>
            <c:ext xmlns:c16="http://schemas.microsoft.com/office/drawing/2014/chart" uri="{C3380CC4-5D6E-409C-BE32-E72D297353CC}">
              <c16:uniqueId val="{00000001-3660-4043-BAA2-C5944B8BE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4163503"/>
        <c:axId val="763628879"/>
      </c:barChart>
      <c:lineChart>
        <c:grouping val="standard"/>
        <c:varyColors val="0"/>
        <c:ser>
          <c:idx val="2"/>
          <c:order val="2"/>
          <c:tx>
            <c:v>YoY growth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'Revenue breakdown'!$B$14:$F$14</c:f>
              <c:numCache>
                <c:formatCode>0.00%</c:formatCode>
                <c:ptCount val="5"/>
                <c:pt idx="1">
                  <c:v>0.48053043478260871</c:v>
                </c:pt>
                <c:pt idx="2">
                  <c:v>1.3314010059066179</c:v>
                </c:pt>
                <c:pt idx="3" formatCode="0.000%">
                  <c:v>2.3398172718417252</c:v>
                </c:pt>
                <c:pt idx="4">
                  <c:v>1.4127453869417286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60-4043-BAA2-C5944B8BE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50623"/>
        <c:axId val="503575343"/>
      </c:lineChart>
      <c:catAx>
        <c:axId val="76416350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63628879"/>
        <c:crosses val="autoZero"/>
        <c:auto val="1"/>
        <c:lblAlgn val="ctr"/>
        <c:lblOffset val="100"/>
        <c:noMultiLvlLbl val="0"/>
      </c:catAx>
      <c:valAx>
        <c:axId val="763628879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64163503"/>
        <c:crosses val="autoZero"/>
        <c:crossBetween val="between"/>
      </c:valAx>
      <c:valAx>
        <c:axId val="50357534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03750623"/>
        <c:crosses val="max"/>
        <c:crossBetween val="between"/>
      </c:valAx>
      <c:catAx>
        <c:axId val="503750623"/>
        <c:scaling>
          <c:orientation val="minMax"/>
        </c:scaling>
        <c:delete val="1"/>
        <c:axPos val="b"/>
        <c:majorTickMark val="none"/>
        <c:minorTickMark val="none"/>
        <c:tickLblPos val="nextTo"/>
        <c:crossAx val="503575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'!$A$137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'!$B$137:$F$137</c:f>
              <c:numCache>
                <c:formatCode>0.0%;[Red]\(0.0%\)</c:formatCode>
                <c:ptCount val="5"/>
                <c:pt idx="0">
                  <c:v>0.13358381810831049</c:v>
                </c:pt>
                <c:pt idx="1">
                  <c:v>0.12691247303708797</c:v>
                </c:pt>
                <c:pt idx="2">
                  <c:v>0.13920905462275576</c:v>
                </c:pt>
                <c:pt idx="3">
                  <c:v>0.14009862030878828</c:v>
                </c:pt>
                <c:pt idx="4">
                  <c:v>0.15591092707931078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2-4E46-8486-0CADED045486}"/>
            </c:ext>
          </c:extLst>
        </c:ser>
        <c:ser>
          <c:idx val="1"/>
          <c:order val="1"/>
          <c:tx>
            <c:strRef>
              <c:f>'Exhibit '!$A$138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'!$B$138:$F$138</c:f>
              <c:numCache>
                <c:formatCode>0.0%;[Red]\(0.0%\)</c:formatCode>
                <c:ptCount val="5"/>
                <c:pt idx="0">
                  <c:v>0.17699999999999999</c:v>
                </c:pt>
                <c:pt idx="1">
                  <c:v>0.191</c:v>
                </c:pt>
                <c:pt idx="2">
                  <c:v>0.221</c:v>
                </c:pt>
                <c:pt idx="3">
                  <c:v>0.22500000000000001</c:v>
                </c:pt>
                <c:pt idx="4">
                  <c:v>0.23100000000000001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2-4E46-8486-0CADED045486}"/>
            </c:ext>
          </c:extLst>
        </c:ser>
        <c:ser>
          <c:idx val="2"/>
          <c:order val="2"/>
          <c:tx>
            <c:strRef>
              <c:f>'Exhibit '!$A$139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'!$B$139:$F$139</c:f>
              <c:numCache>
                <c:formatCode>0.0%;[Red]\(0.0%\)</c:formatCode>
                <c:ptCount val="5"/>
                <c:pt idx="0">
                  <c:v>6.2E-2</c:v>
                </c:pt>
                <c:pt idx="1">
                  <c:v>6.5000000000000002E-2</c:v>
                </c:pt>
                <c:pt idx="2">
                  <c:v>6.4000000000000001E-2</c:v>
                </c:pt>
                <c:pt idx="3">
                  <c:v>7.1999999999999995E-2</c:v>
                </c:pt>
                <c:pt idx="4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2-4E46-8486-0CADED045486}"/>
            </c:ext>
          </c:extLst>
        </c:ser>
        <c:ser>
          <c:idx val="3"/>
          <c:order val="3"/>
          <c:tx>
            <c:strRef>
              <c:f>'Exhibit '!$A$140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'!$B$140:$F$140</c:f>
              <c:numCache>
                <c:formatCode>0.0%;[Red]\(0.0%\)</c:formatCode>
                <c:ptCount val="5"/>
                <c:pt idx="0">
                  <c:v>0.06</c:v>
                </c:pt>
                <c:pt idx="1">
                  <c:v>6.0999999999999999E-2</c:v>
                </c:pt>
                <c:pt idx="2">
                  <c:v>0.05</c:v>
                </c:pt>
                <c:pt idx="3">
                  <c:v>5.2999999999999999E-2</c:v>
                </c:pt>
                <c:pt idx="4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2-4E46-8486-0CADED045486}"/>
            </c:ext>
          </c:extLst>
        </c:ser>
        <c:ser>
          <c:idx val="4"/>
          <c:order val="4"/>
          <c:tx>
            <c:strRef>
              <c:f>'Exhibit '!$A$141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'!$B$141:$F$141</c:f>
              <c:numCache>
                <c:formatCode>0.0%;[Red]\(0.0%\)</c:formatCode>
                <c:ptCount val="5"/>
                <c:pt idx="0">
                  <c:v>9.7791909054155246E-2</c:v>
                </c:pt>
                <c:pt idx="1">
                  <c:v>9.5956236518543986E-2</c:v>
                </c:pt>
                <c:pt idx="2">
                  <c:v>0.10160452731137788</c:v>
                </c:pt>
                <c:pt idx="3">
                  <c:v>0.10604931015439414</c:v>
                </c:pt>
                <c:pt idx="4">
                  <c:v>0.11545546353965538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32-4E46-8486-0CADED045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.0%;[Red]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'!$H$137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'!$I$137:$M$137</c:f>
              <c:numCache>
                <c:formatCode>0.0%;[Red]\(0.0%\)</c:formatCode>
                <c:ptCount val="5"/>
                <c:pt idx="0">
                  <c:v>2.6328878273354585E-2</c:v>
                </c:pt>
                <c:pt idx="1">
                  <c:v>1.6401566433970022E-2</c:v>
                </c:pt>
                <c:pt idx="2">
                  <c:v>9.7664502687564228E-4</c:v>
                </c:pt>
                <c:pt idx="3">
                  <c:v>2.4280815601325115E-2</c:v>
                </c:pt>
                <c:pt idx="4">
                  <c:v>1.571209728526685E-2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9-2F4E-A6CB-47F4BDA0155C}"/>
            </c:ext>
          </c:extLst>
        </c:ser>
        <c:ser>
          <c:idx val="1"/>
          <c:order val="1"/>
          <c:tx>
            <c:strRef>
              <c:f>'Exhibit '!$H$138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'!$I$138:$M$138</c:f>
              <c:numCache>
                <c:formatCode>0.0%;[Red]\(0.0%\)</c:formatCode>
                <c:ptCount val="5"/>
                <c:pt idx="0">
                  <c:v>4.3999999999999997E-2</c:v>
                </c:pt>
                <c:pt idx="1">
                  <c:v>4.9000000000000002E-2</c:v>
                </c:pt>
                <c:pt idx="2">
                  <c:v>0.05</c:v>
                </c:pt>
                <c:pt idx="3">
                  <c:v>5.2999999999999999E-2</c:v>
                </c:pt>
                <c:pt idx="4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9-2F4E-A6CB-47F4BDA0155C}"/>
            </c:ext>
          </c:extLst>
        </c:ser>
        <c:ser>
          <c:idx val="2"/>
          <c:order val="2"/>
          <c:tx>
            <c:strRef>
              <c:f>'Exhibit '!$H$139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'!$I$139:$M$139</c:f>
              <c:numCache>
                <c:formatCode>0.0%;[Red]\(0.0%\)</c:formatCode>
                <c:ptCount val="5"/>
                <c:pt idx="0">
                  <c:v>2.3E-2</c:v>
                </c:pt>
                <c:pt idx="1">
                  <c:v>2.5000000000000001E-2</c:v>
                </c:pt>
                <c:pt idx="2">
                  <c:v>2.5999999999999999E-2</c:v>
                </c:pt>
                <c:pt idx="3">
                  <c:v>3.9E-2</c:v>
                </c:pt>
                <c:pt idx="4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9-2F4E-A6CB-47F4BDA0155C}"/>
            </c:ext>
          </c:extLst>
        </c:ser>
        <c:ser>
          <c:idx val="3"/>
          <c:order val="3"/>
          <c:tx>
            <c:strRef>
              <c:f>'Exhibit '!$H$140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'!$I$140:$M$140</c:f>
              <c:numCache>
                <c:formatCode>0.0%;[Red]\(0.0%\)</c:formatCode>
                <c:ptCount val="5"/>
                <c:pt idx="0">
                  <c:v>1.6E-2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2.3E-2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29-2F4E-A6CB-47F4BDA0155C}"/>
            </c:ext>
          </c:extLst>
        </c:ser>
        <c:ser>
          <c:idx val="4"/>
          <c:order val="4"/>
          <c:tx>
            <c:strRef>
              <c:f>'Exhibit '!$H$141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'!$I$141:$M$141</c:f>
              <c:numCache>
                <c:formatCode>0.0%;[Red]\(0.0%\)</c:formatCode>
                <c:ptCount val="5"/>
                <c:pt idx="0">
                  <c:v>2.4664439136677291E-2</c:v>
                </c:pt>
                <c:pt idx="1">
                  <c:v>2.0700783216985014E-2</c:v>
                </c:pt>
                <c:pt idx="2">
                  <c:v>2.0499999999999997E-2</c:v>
                </c:pt>
                <c:pt idx="3">
                  <c:v>3.1640407800662559E-2</c:v>
                </c:pt>
                <c:pt idx="4">
                  <c:v>2.7356048642633427E-2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29-2F4E-A6CB-47F4BDA0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.0%;[Red]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'!$H$137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'!$P$137:$T$137</c:f>
              <c:numCache>
                <c:formatCode>0.0%;[Red]\(0.0%\)</c:formatCode>
                <c:ptCount val="5"/>
                <c:pt idx="0">
                  <c:v>2.3E-2</c:v>
                </c:pt>
                <c:pt idx="1">
                  <c:v>1.2E-2</c:v>
                </c:pt>
                <c:pt idx="2">
                  <c:v>1E-3</c:v>
                </c:pt>
                <c:pt idx="3">
                  <c:v>0.02</c:v>
                </c:pt>
                <c:pt idx="4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9-054D-9C23-04B00CEA1A76}"/>
            </c:ext>
          </c:extLst>
        </c:ser>
        <c:ser>
          <c:idx val="1"/>
          <c:order val="1"/>
          <c:tx>
            <c:strRef>
              <c:f>'Exhibit '!$H$138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'!$P$138:$T$138</c:f>
              <c:numCache>
                <c:formatCode>0.0%;[Red]\(0.0%\)</c:formatCode>
                <c:ptCount val="5"/>
                <c:pt idx="0">
                  <c:v>3.3000000000000002E-2</c:v>
                </c:pt>
                <c:pt idx="1">
                  <c:v>3.7999999999999999E-2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9-054D-9C23-04B00CEA1A76}"/>
            </c:ext>
          </c:extLst>
        </c:ser>
        <c:ser>
          <c:idx val="2"/>
          <c:order val="2"/>
          <c:tx>
            <c:strRef>
              <c:f>'Exhibit '!$H$139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'!$P$139:$T$139</c:f>
              <c:numCache>
                <c:formatCode>0.0%;[Red]\(0.0%\)</c:formatCode>
                <c:ptCount val="5"/>
                <c:pt idx="0">
                  <c:v>1.7999999999999999E-2</c:v>
                </c:pt>
                <c:pt idx="1">
                  <c:v>1.9E-2</c:v>
                </c:pt>
                <c:pt idx="2">
                  <c:v>2.1000000000000001E-2</c:v>
                </c:pt>
                <c:pt idx="3">
                  <c:v>3.1E-2</c:v>
                </c:pt>
                <c:pt idx="4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9-054D-9C23-04B00CEA1A76}"/>
            </c:ext>
          </c:extLst>
        </c:ser>
        <c:ser>
          <c:idx val="3"/>
          <c:order val="3"/>
          <c:tx>
            <c:strRef>
              <c:f>'Exhibit '!$H$140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'!$P$140:$T$140</c:f>
              <c:numCache>
                <c:formatCode>0.0%;[Red]\(0.0%\)</c:formatCode>
                <c:ptCount val="5"/>
                <c:pt idx="0">
                  <c:v>1.2E-2</c:v>
                </c:pt>
                <c:pt idx="1">
                  <c:v>1.2999999999999999E-2</c:v>
                </c:pt>
                <c:pt idx="2">
                  <c:v>0.01</c:v>
                </c:pt>
                <c:pt idx="3">
                  <c:v>1.7999999999999999E-2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79-054D-9C23-04B00CEA1A76}"/>
            </c:ext>
          </c:extLst>
        </c:ser>
        <c:ser>
          <c:idx val="4"/>
          <c:order val="4"/>
          <c:tx>
            <c:strRef>
              <c:f>'Exhibit '!$H$141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'!$P$141:$T$141</c:f>
              <c:numCache>
                <c:formatCode>0.0%;[Red]\(0.0%\)</c:formatCode>
                <c:ptCount val="5"/>
                <c:pt idx="0">
                  <c:v>2.0499999999999997E-2</c:v>
                </c:pt>
                <c:pt idx="1">
                  <c:v>1.6E-2</c:v>
                </c:pt>
                <c:pt idx="2">
                  <c:v>1.55E-2</c:v>
                </c:pt>
                <c:pt idx="3">
                  <c:v>2.5500000000000002E-2</c:v>
                </c:pt>
                <c:pt idx="4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79-054D-9C23-04B00CEA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.0%;[Red]\(0.0%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Inventory Turnover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'!$B$10:$F$10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'!$I$37:$M$37</c:f>
              <c:numCache>
                <c:formatCode>#,##0.0_);[Red]\(#,##0.0\)</c:formatCode>
                <c:ptCount val="5"/>
                <c:pt idx="0">
                  <c:v>6.3</c:v>
                </c:pt>
                <c:pt idx="1">
                  <c:v>4.9000000000000004</c:v>
                </c:pt>
                <c:pt idx="2">
                  <c:v>4.8</c:v>
                </c:pt>
                <c:pt idx="3">
                  <c:v>5.7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3-D241-8683-16C8B8CD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774976"/>
        <c:axId val="1687187392"/>
      </c:barChart>
      <c:lineChart>
        <c:grouping val="standard"/>
        <c:varyColors val="0"/>
        <c:ser>
          <c:idx val="1"/>
          <c:order val="1"/>
          <c:tx>
            <c:v>COGS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'Peers '!$I$38:$M$38</c:f>
              <c:numCache>
                <c:formatCode>#,##0_);[Red]\(#,##0\)</c:formatCode>
                <c:ptCount val="5"/>
                <c:pt idx="0">
                  <c:v>13254725</c:v>
                </c:pt>
                <c:pt idx="1">
                  <c:v>14522903</c:v>
                </c:pt>
                <c:pt idx="2">
                  <c:v>12620415</c:v>
                </c:pt>
                <c:pt idx="3">
                  <c:v>19343448</c:v>
                </c:pt>
                <c:pt idx="4">
                  <c:v>25462623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3-D241-8683-16C8B8CD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960528"/>
        <c:axId val="716923824"/>
      </c:lineChart>
      <c:catAx>
        <c:axId val="71577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87187392"/>
        <c:crosses val="autoZero"/>
        <c:auto val="1"/>
        <c:lblAlgn val="ctr"/>
        <c:lblOffset val="100"/>
        <c:noMultiLvlLbl val="0"/>
      </c:catAx>
      <c:valAx>
        <c:axId val="1687187392"/>
        <c:scaling>
          <c:orientation val="minMax"/>
        </c:scaling>
        <c:delete val="0"/>
        <c:axPos val="l"/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5774976"/>
        <c:crosses val="autoZero"/>
        <c:crossBetween val="between"/>
      </c:valAx>
      <c:valAx>
        <c:axId val="716923824"/>
        <c:scaling>
          <c:orientation val="minMax"/>
        </c:scaling>
        <c:delete val="0"/>
        <c:axPos val="r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44960528"/>
        <c:crosses val="max"/>
        <c:crossBetween val="between"/>
      </c:valAx>
      <c:catAx>
        <c:axId val="2044960528"/>
        <c:scaling>
          <c:orientation val="minMax"/>
        </c:scaling>
        <c:delete val="1"/>
        <c:axPos val="b"/>
        <c:majorTickMark val="none"/>
        <c:minorTickMark val="none"/>
        <c:tickLblPos val="nextTo"/>
        <c:crossAx val="716923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FRT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'!$X$137:$AB$137</c:f>
              <c:numCache>
                <c:formatCode>0</c:formatCode>
                <c:ptCount val="5"/>
                <c:pt idx="0">
                  <c:v>2875.09</c:v>
                </c:pt>
                <c:pt idx="1">
                  <c:v>2826.83</c:v>
                </c:pt>
                <c:pt idx="2">
                  <c:v>1913.67</c:v>
                </c:pt>
                <c:pt idx="3">
                  <c:v>1789.13</c:v>
                </c:pt>
                <c:pt idx="4">
                  <c:v>87.01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2-9743-B7B5-F7F553868703}"/>
            </c:ext>
          </c:extLst>
        </c:ser>
        <c:ser>
          <c:idx val="1"/>
          <c:order val="1"/>
          <c:tx>
            <c:v>MWG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'!$X$138:$AB$138</c:f>
              <c:numCache>
                <c:formatCode>0</c:formatCode>
                <c:ptCount val="5"/>
                <c:pt idx="0">
                  <c:v>24.6</c:v>
                </c:pt>
                <c:pt idx="1">
                  <c:v>22.64</c:v>
                </c:pt>
                <c:pt idx="2">
                  <c:v>16.88</c:v>
                </c:pt>
                <c:pt idx="3">
                  <c:v>14.43</c:v>
                </c:pt>
                <c:pt idx="4">
                  <c:v>13.74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2-9743-B7B5-F7F553868703}"/>
            </c:ext>
          </c:extLst>
        </c:ser>
        <c:ser>
          <c:idx val="2"/>
          <c:order val="2"/>
          <c:tx>
            <c:v>DGW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'!$X$139:$AB$139</c:f>
              <c:numCache>
                <c:formatCode>0</c:formatCode>
                <c:ptCount val="5"/>
                <c:pt idx="0">
                  <c:v>241.28</c:v>
                </c:pt>
                <c:pt idx="1">
                  <c:v>398.35</c:v>
                </c:pt>
                <c:pt idx="2">
                  <c:v>531.29999999999995</c:v>
                </c:pt>
                <c:pt idx="3">
                  <c:v>678.23</c:v>
                </c:pt>
                <c:pt idx="4">
                  <c:v>660.47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12-9743-B7B5-F7F553868703}"/>
            </c:ext>
          </c:extLst>
        </c:ser>
        <c:ser>
          <c:idx val="3"/>
          <c:order val="3"/>
          <c:tx>
            <c:v>PET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'!$X$140:$AB$140</c:f>
              <c:numCache>
                <c:formatCode>0</c:formatCode>
                <c:ptCount val="5"/>
                <c:pt idx="0">
                  <c:v>67.23</c:v>
                </c:pt>
                <c:pt idx="1">
                  <c:v>77.62</c:v>
                </c:pt>
                <c:pt idx="2">
                  <c:v>105.6</c:v>
                </c:pt>
                <c:pt idx="3">
                  <c:v>139.58000000000001</c:v>
                </c:pt>
                <c:pt idx="4">
                  <c:v>132.04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12-9743-B7B5-F7F553868703}"/>
            </c:ext>
          </c:extLst>
        </c:ser>
        <c:ser>
          <c:idx val="4"/>
          <c:order val="4"/>
          <c:tx>
            <c:strRef>
              <c:f>'Exhibit '!$H$141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'!$X$141:$AB$141</c:f>
              <c:numCache>
                <c:formatCode>0</c:formatCode>
                <c:ptCount val="5"/>
                <c:pt idx="0">
                  <c:v>154.255</c:v>
                </c:pt>
                <c:pt idx="1">
                  <c:v>237.98500000000001</c:v>
                </c:pt>
                <c:pt idx="2">
                  <c:v>318.44999999999993</c:v>
                </c:pt>
                <c:pt idx="3">
                  <c:v>408.90499999999997</c:v>
                </c:pt>
                <c:pt idx="4">
                  <c:v>109.52500000000001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12-9743-B7B5-F7F55386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'!$W$137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'!$AE$137:$AI$137</c:f>
              <c:numCache>
                <c:formatCode>0</c:formatCode>
                <c:ptCount val="5"/>
                <c:pt idx="0">
                  <c:v>6.3</c:v>
                </c:pt>
                <c:pt idx="1">
                  <c:v>4.9000000000000004</c:v>
                </c:pt>
                <c:pt idx="2">
                  <c:v>4.8</c:v>
                </c:pt>
                <c:pt idx="3">
                  <c:v>5.7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0-E647-9A53-494C3EC8CF76}"/>
            </c:ext>
          </c:extLst>
        </c:ser>
        <c:ser>
          <c:idx val="1"/>
          <c:order val="1"/>
          <c:tx>
            <c:strRef>
              <c:f>'Exhibit '!$W$138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'!$AE$138:$AI$138</c:f>
              <c:numCache>
                <c:formatCode>0</c:formatCode>
                <c:ptCount val="5"/>
                <c:pt idx="0">
                  <c:v>4.8</c:v>
                </c:pt>
                <c:pt idx="1">
                  <c:v>3.8</c:v>
                </c:pt>
                <c:pt idx="2">
                  <c:v>3.7</c:v>
                </c:pt>
                <c:pt idx="3">
                  <c:v>3.9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0-E647-9A53-494C3EC8CF76}"/>
            </c:ext>
          </c:extLst>
        </c:ser>
        <c:ser>
          <c:idx val="2"/>
          <c:order val="2"/>
          <c:tx>
            <c:strRef>
              <c:f>'Exhibit '!$W$139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'!$AE$139:$AI$139</c:f>
              <c:numCache>
                <c:formatCode>0</c:formatCode>
                <c:ptCount val="5"/>
                <c:pt idx="0">
                  <c:v>5.0999999999999996</c:v>
                </c:pt>
                <c:pt idx="1">
                  <c:v>5.7</c:v>
                </c:pt>
                <c:pt idx="2">
                  <c:v>10.3</c:v>
                </c:pt>
                <c:pt idx="3">
                  <c:v>10.5</c:v>
                </c:pt>
                <c:pt idx="4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0-E647-9A53-494C3EC8CF76}"/>
            </c:ext>
          </c:extLst>
        </c:ser>
        <c:ser>
          <c:idx val="3"/>
          <c:order val="3"/>
          <c:tx>
            <c:strRef>
              <c:f>'Exhibit '!$W$140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'!$AE$140:$AI$140</c:f>
              <c:numCache>
                <c:formatCode>0</c:formatCode>
                <c:ptCount val="5"/>
                <c:pt idx="0">
                  <c:v>11.7</c:v>
                </c:pt>
                <c:pt idx="1">
                  <c:v>8.8000000000000007</c:v>
                </c:pt>
                <c:pt idx="2">
                  <c:v>13.4</c:v>
                </c:pt>
                <c:pt idx="3">
                  <c:v>14.9</c:v>
                </c:pt>
                <c:pt idx="4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0-E647-9A53-494C3EC8CF76}"/>
            </c:ext>
          </c:extLst>
        </c:ser>
        <c:ser>
          <c:idx val="4"/>
          <c:order val="4"/>
          <c:tx>
            <c:strRef>
              <c:f>'Exhibit '!$W$141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'!$AE$141:$AI$141</c:f>
              <c:numCache>
                <c:formatCode>0</c:formatCode>
                <c:ptCount val="5"/>
                <c:pt idx="0">
                  <c:v>5.6999999999999993</c:v>
                </c:pt>
                <c:pt idx="1">
                  <c:v>5.3000000000000007</c:v>
                </c:pt>
                <c:pt idx="2">
                  <c:v>7.5500000000000007</c:v>
                </c:pt>
                <c:pt idx="3">
                  <c:v>8.1</c:v>
                </c:pt>
                <c:pt idx="4">
                  <c:v>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0-E647-9A53-494C3EC8C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cat>
            <c:strRef>
              <c:f>'Exhibit '!$B$185:$E$185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2023F</c:v>
                </c:pt>
              </c:strCache>
            </c:strRef>
          </c:cat>
          <c:val>
            <c:numRef>
              <c:f>'Exhibit '!$B$186:$E$186</c:f>
              <c:numCache>
                <c:formatCode>0.00%</c:formatCode>
                <c:ptCount val="4"/>
                <c:pt idx="0">
                  <c:v>2.9000000000000001E-2</c:v>
                </c:pt>
                <c:pt idx="1">
                  <c:v>2.5999999999999999E-2</c:v>
                </c:pt>
                <c:pt idx="2" formatCode="0%">
                  <c:v>0.08</c:v>
                </c:pt>
                <c:pt idx="3" formatCode="0%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8-564E-BA7A-580D0A350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195807"/>
        <c:axId val="767445359"/>
      </c:lineChart>
      <c:catAx>
        <c:axId val="7671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67445359"/>
        <c:crosses val="autoZero"/>
        <c:auto val="1"/>
        <c:lblAlgn val="ctr"/>
        <c:lblOffset val="100"/>
        <c:noMultiLvlLbl val="0"/>
      </c:catAx>
      <c:valAx>
        <c:axId val="7674453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67195807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'!$A$207</c:f>
              <c:strCache>
                <c:ptCount val="1"/>
                <c:pt idx="0">
                  <c:v>Computing 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'Exhibit '!$B$206:$I$206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'Exhibit '!$B$207:$I$207</c:f>
              <c:numCache>
                <c:formatCode>0.0</c:formatCode>
                <c:ptCount val="8"/>
                <c:pt idx="0">
                  <c:v>4.99</c:v>
                </c:pt>
                <c:pt idx="1">
                  <c:v>-3.56</c:v>
                </c:pt>
                <c:pt idx="2">
                  <c:v>1.89</c:v>
                </c:pt>
                <c:pt idx="3">
                  <c:v>0.5</c:v>
                </c:pt>
                <c:pt idx="4">
                  <c:v>4.16</c:v>
                </c:pt>
                <c:pt idx="5">
                  <c:v>3.99</c:v>
                </c:pt>
                <c:pt idx="6">
                  <c:v>3.83</c:v>
                </c:pt>
                <c:pt idx="7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B-ED48-B9C4-EF5ABAD60C4E}"/>
            </c:ext>
          </c:extLst>
        </c:ser>
        <c:ser>
          <c:idx val="1"/>
          <c:order val="1"/>
          <c:tx>
            <c:strRef>
              <c:f>'Exhibit '!$A$208</c:f>
              <c:strCache>
                <c:ptCount val="1"/>
                <c:pt idx="0">
                  <c:v>Telephone 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'Exhibit '!$B$206:$I$206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'Exhibit '!$B$208:$I$208</c:f>
              <c:numCache>
                <c:formatCode>0.0</c:formatCode>
                <c:ptCount val="8"/>
                <c:pt idx="0">
                  <c:v>11.14</c:v>
                </c:pt>
                <c:pt idx="1">
                  <c:v>-6.62</c:v>
                </c:pt>
                <c:pt idx="2">
                  <c:v>3.1</c:v>
                </c:pt>
                <c:pt idx="3">
                  <c:v>-1.76</c:v>
                </c:pt>
                <c:pt idx="4">
                  <c:v>1.35</c:v>
                </c:pt>
                <c:pt idx="5">
                  <c:v>1.33</c:v>
                </c:pt>
                <c:pt idx="6">
                  <c:v>1.3</c:v>
                </c:pt>
                <c:pt idx="7">
                  <c:v>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B-ED48-B9C4-EF5ABAD60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519327"/>
        <c:axId val="1489468751"/>
      </c:barChart>
      <c:catAx>
        <c:axId val="14895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89468751"/>
        <c:crosses val="autoZero"/>
        <c:auto val="1"/>
        <c:lblAlgn val="ctr"/>
        <c:lblOffset val="100"/>
        <c:noMultiLvlLbl val="0"/>
      </c:catAx>
      <c:valAx>
        <c:axId val="148946875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895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'Exhibit '!$B$206:$I$206</c:f>
              <c:numCache>
                <c:formatCode>General</c:formatCode>
                <c:ptCount val="8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</c:numCache>
            </c:numRef>
          </c:cat>
          <c:val>
            <c:numRef>
              <c:f>'Exhibit '!$B$230:$I$230</c:f>
              <c:numCache>
                <c:formatCode>General</c:formatCode>
                <c:ptCount val="8"/>
                <c:pt idx="0">
                  <c:v>-2.13</c:v>
                </c:pt>
                <c:pt idx="1">
                  <c:v>9.1999999999999993</c:v>
                </c:pt>
                <c:pt idx="2">
                  <c:v>7.57</c:v>
                </c:pt>
                <c:pt idx="3">
                  <c:v>7.71</c:v>
                </c:pt>
                <c:pt idx="4">
                  <c:v>7.38</c:v>
                </c:pt>
                <c:pt idx="5">
                  <c:v>7.34</c:v>
                </c:pt>
                <c:pt idx="6">
                  <c:v>7.13</c:v>
                </c:pt>
                <c:pt idx="7">
                  <c:v>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B-D543-934E-047F07CE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196111"/>
        <c:axId val="1096685791"/>
      </c:barChart>
      <c:catAx>
        <c:axId val="109619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96685791"/>
        <c:crosses val="autoZero"/>
        <c:auto val="1"/>
        <c:lblAlgn val="ctr"/>
        <c:lblOffset val="100"/>
        <c:noMultiLvlLbl val="0"/>
      </c:catAx>
      <c:valAx>
        <c:axId val="109668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9619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C5-6F40-909F-2D4F097534C9}"/>
              </c:ext>
            </c:extLst>
          </c:dPt>
          <c:cat>
            <c:strRef>
              <c:f>'Exhibit '!$A$253:$A$259</c:f>
              <c:strCache>
                <c:ptCount val="7"/>
                <c:pt idx="0">
                  <c:v>Vietnam </c:v>
                </c:pt>
                <c:pt idx="1">
                  <c:v>India </c:v>
                </c:pt>
                <c:pt idx="2">
                  <c:v>Indonesia</c:v>
                </c:pt>
                <c:pt idx="3">
                  <c:v>China </c:v>
                </c:pt>
                <c:pt idx="4">
                  <c:v>Australia </c:v>
                </c:pt>
                <c:pt idx="5">
                  <c:v>South Korea</c:v>
                </c:pt>
                <c:pt idx="6">
                  <c:v>Japan</c:v>
                </c:pt>
              </c:strCache>
            </c:strRef>
          </c:cat>
          <c:val>
            <c:numRef>
              <c:f>'Exhibit '!$B$253:$B$259</c:f>
              <c:numCache>
                <c:formatCode>0%</c:formatCode>
                <c:ptCount val="7"/>
                <c:pt idx="0">
                  <c:v>0.9</c:v>
                </c:pt>
                <c:pt idx="1">
                  <c:v>0.84</c:v>
                </c:pt>
                <c:pt idx="2">
                  <c:v>0.77</c:v>
                </c:pt>
                <c:pt idx="3">
                  <c:v>0.74</c:v>
                </c:pt>
                <c:pt idx="4">
                  <c:v>0.56000000000000005</c:v>
                </c:pt>
                <c:pt idx="5">
                  <c:v>0.55000000000000004</c:v>
                </c:pt>
                <c:pt idx="6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5-6F40-909F-2D4F0975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051375"/>
        <c:axId val="646220511"/>
      </c:barChart>
      <c:catAx>
        <c:axId val="113505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46220511"/>
        <c:crosses val="autoZero"/>
        <c:auto val="1"/>
        <c:lblAlgn val="ctr"/>
        <c:lblOffset val="100"/>
        <c:noMultiLvlLbl val="0"/>
      </c:catAx>
      <c:valAx>
        <c:axId val="64622051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3505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E-8343-8957-039B7EAB2670}"/>
              </c:ext>
            </c:extLst>
          </c:dPt>
          <c:dPt>
            <c:idx val="8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5E-8343-8957-039B7EAB2670}"/>
              </c:ext>
            </c:extLst>
          </c:dPt>
          <c:cat>
            <c:strRef>
              <c:f>'Exhibit '!$A$287:$A$295</c:f>
              <c:strCache>
                <c:ptCount val="9"/>
                <c:pt idx="0">
                  <c:v>Long Chau</c:v>
                </c:pt>
                <c:pt idx="1">
                  <c:v>Pharmacity</c:v>
                </c:pt>
                <c:pt idx="2">
                  <c:v>An Khang Pharmacy</c:v>
                </c:pt>
                <c:pt idx="3">
                  <c:v>Guardian</c:v>
                </c:pt>
                <c:pt idx="4">
                  <c:v>Medicare</c:v>
                </c:pt>
                <c:pt idx="5">
                  <c:v>SK Pharmacy</c:v>
                </c:pt>
                <c:pt idx="6">
                  <c:v>ECO pharma</c:v>
                </c:pt>
                <c:pt idx="7">
                  <c:v>Matsumoto Kiyoshi</c:v>
                </c:pt>
                <c:pt idx="8">
                  <c:v>Total</c:v>
                </c:pt>
              </c:strCache>
            </c:strRef>
          </c:cat>
          <c:val>
            <c:numRef>
              <c:f>'Exhibit '!$B$287:$B$295</c:f>
              <c:numCache>
                <c:formatCode>General</c:formatCode>
                <c:ptCount val="9"/>
                <c:pt idx="0" formatCode="#,##0">
                  <c:v>1016</c:v>
                </c:pt>
                <c:pt idx="1">
                  <c:v>937</c:v>
                </c:pt>
                <c:pt idx="2">
                  <c:v>524</c:v>
                </c:pt>
                <c:pt idx="3">
                  <c:v>109</c:v>
                </c:pt>
                <c:pt idx="4">
                  <c:v>85</c:v>
                </c:pt>
                <c:pt idx="5">
                  <c:v>12</c:v>
                </c:pt>
                <c:pt idx="6">
                  <c:v>10</c:v>
                </c:pt>
                <c:pt idx="7">
                  <c:v>5</c:v>
                </c:pt>
                <c:pt idx="8" formatCode="#,##0">
                  <c:v>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E-8343-8957-039B7EAB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861951"/>
        <c:axId val="732793007"/>
      </c:barChart>
      <c:catAx>
        <c:axId val="73286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2793007"/>
        <c:crosses val="autoZero"/>
        <c:auto val="1"/>
        <c:lblAlgn val="ctr"/>
        <c:lblOffset val="100"/>
        <c:noMultiLvlLbl val="0"/>
      </c:catAx>
      <c:valAx>
        <c:axId val="73279300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286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bg2">
                <a:lumMod val="90000"/>
              </a:schemeClr>
            </a:solidFill>
          </c:spPr>
          <c:dPt>
            <c:idx val="0"/>
            <c:bubble3D val="0"/>
            <c:spPr>
              <a:solidFill>
                <a:srgbClr val="034E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2F-EB4E-845D-940B47B230E7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C-1146-9812-836F2E3754D2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C-1146-9812-836F2E3754D2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BC-1146-9812-836F2E3754D2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BC-1146-9812-836F2E3754D2}"/>
              </c:ext>
            </c:extLst>
          </c:dPt>
          <c:dPt>
            <c:idx val="5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BC-1146-9812-836F2E3754D2}"/>
              </c:ext>
            </c:extLst>
          </c:dPt>
          <c:dPt>
            <c:idx val="6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BC-1146-9812-836F2E3754D2}"/>
              </c:ext>
            </c:extLst>
          </c:dPt>
          <c:dPt>
            <c:idx val="7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BC-1146-9812-836F2E3754D2}"/>
              </c:ext>
            </c:extLst>
          </c:dPt>
          <c:cat>
            <c:strRef>
              <c:f>'Exhibit '!$A$287:$A$294</c:f>
              <c:strCache>
                <c:ptCount val="8"/>
                <c:pt idx="0">
                  <c:v>Long Chau</c:v>
                </c:pt>
                <c:pt idx="1">
                  <c:v>Pharmacity</c:v>
                </c:pt>
                <c:pt idx="2">
                  <c:v>An Khang Pharmacy</c:v>
                </c:pt>
                <c:pt idx="3">
                  <c:v>Guardian</c:v>
                </c:pt>
                <c:pt idx="4">
                  <c:v>Medicare</c:v>
                </c:pt>
                <c:pt idx="5">
                  <c:v>SK Pharmacy</c:v>
                </c:pt>
                <c:pt idx="6">
                  <c:v>ECO pharma</c:v>
                </c:pt>
                <c:pt idx="7">
                  <c:v>Matsumoto Kiyoshi</c:v>
                </c:pt>
              </c:strCache>
            </c:strRef>
          </c:cat>
          <c:val>
            <c:numRef>
              <c:f>'Exhibit '!$C$287:$C$294</c:f>
              <c:numCache>
                <c:formatCode>0%</c:formatCode>
                <c:ptCount val="8"/>
                <c:pt idx="0">
                  <c:v>0.37657524091919942</c:v>
                </c:pt>
                <c:pt idx="1">
                  <c:v>0.34729429206819867</c:v>
                </c:pt>
                <c:pt idx="2">
                  <c:v>0.19421793921423278</c:v>
                </c:pt>
                <c:pt idx="3">
                  <c:v>4.0400296515937732E-2</c:v>
                </c:pt>
                <c:pt idx="4">
                  <c:v>3.1504818383988137E-2</c:v>
                </c:pt>
                <c:pt idx="5">
                  <c:v>4.447739065974796E-3</c:v>
                </c:pt>
                <c:pt idx="6">
                  <c:v>3.7064492216456633E-3</c:v>
                </c:pt>
                <c:pt idx="7">
                  <c:v>1.8532246108228317E-3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F-EB4E-845D-940B47B2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Interest Expenses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'FPT Digital Retail JSC | Income'!$E$5:$I$5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'FPT Digital Retail JSC | Income'!$E$51:$I$51</c:f>
              <c:numCache>
                <c:formatCode>#,##0_);[Red]\(#,##0\)</c:formatCode>
                <c:ptCount val="5"/>
                <c:pt idx="0">
                  <c:v>95671</c:v>
                </c:pt>
                <c:pt idx="1">
                  <c:v>135183</c:v>
                </c:pt>
                <c:pt idx="2">
                  <c:v>113682</c:v>
                </c:pt>
                <c:pt idx="3">
                  <c:v>132229</c:v>
                </c:pt>
                <c:pt idx="4">
                  <c:v>231528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9-0749-A974-116383994594}"/>
            </c:ext>
          </c:extLst>
        </c:ser>
        <c:ser>
          <c:idx val="1"/>
          <c:order val="1"/>
          <c:tx>
            <c:v>Tax Provision</c:v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'FPT Digital Retail JSC | Income'!$E$5:$I$5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'FPT Digital Retail JSC | Income'!$E$77:$I$77</c:f>
              <c:numCache>
                <c:formatCode>#,##0_);[Red]\(#,##0\)</c:formatCode>
                <c:ptCount val="5"/>
                <c:pt idx="0">
                  <c:v>87028</c:v>
                </c:pt>
                <c:pt idx="1">
                  <c:v>74155</c:v>
                </c:pt>
                <c:pt idx="2">
                  <c:v>18211</c:v>
                </c:pt>
                <c:pt idx="3">
                  <c:v>110242</c:v>
                </c:pt>
                <c:pt idx="4">
                  <c:v>87549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9-0749-A974-116383994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394591"/>
        <c:axId val="1647114479"/>
      </c:barChart>
      <c:catAx>
        <c:axId val="11353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47114479"/>
        <c:crosses val="autoZero"/>
        <c:auto val="1"/>
        <c:lblAlgn val="ctr"/>
        <c:lblOffset val="100"/>
        <c:noMultiLvlLbl val="0"/>
      </c:catAx>
      <c:valAx>
        <c:axId val="1647114479"/>
        <c:scaling>
          <c:orientation val="minMax"/>
        </c:scaling>
        <c:delete val="0"/>
        <c:axPos val="l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3539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'FPT Digital Retail JSC | BS'!$A$37</c:f>
              <c:strCache>
                <c:ptCount val="1"/>
                <c:pt idx="0">
                  <c:v>Total Inventory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'FPT Digital Retail JSC | BS'!$D$5:$H$5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'FPT Digital Retail JSC | BS'!$B$37:$H$37</c:f>
              <c:numCache>
                <c:formatCode>#,##0_);[Red]\(#,##0\)</c:formatCode>
                <c:ptCount val="5"/>
                <c:pt idx="0">
                  <c:v>2506219</c:v>
                </c:pt>
                <c:pt idx="1">
                  <c:v>3383542</c:v>
                </c:pt>
                <c:pt idx="2">
                  <c:v>1826718</c:v>
                </c:pt>
                <c:pt idx="3">
                  <c:v>4930359</c:v>
                </c:pt>
                <c:pt idx="4">
                  <c:v>6483828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924F-8F77-52F710A97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6963743"/>
        <c:axId val="1542360015"/>
      </c:barChart>
      <c:lineChart>
        <c:grouping val="standard"/>
        <c:varyColors val="0"/>
        <c:ser>
          <c:idx val="1"/>
          <c:order val="1"/>
          <c:tx>
            <c:strRef>
              <c:f>'FPT Digital Retail JSC | BS'!$A$38</c:f>
              <c:strCache>
                <c:ptCount val="1"/>
                <c:pt idx="0">
                  <c:v>growth </c:v>
                </c:pt>
              </c:strCache>
            </c:strRef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'FPT Digital Retail JSC | BS'!$B$38:$H$38</c:f>
              <c:numCache>
                <c:formatCode>0%</c:formatCode>
                <c:ptCount val="5"/>
                <c:pt idx="1">
                  <c:v>0.35005839473725153</c:v>
                </c:pt>
                <c:pt idx="2">
                  <c:v>-0.46011664699300314</c:v>
                </c:pt>
                <c:pt idx="3">
                  <c:v>1.699025793800685</c:v>
                </c:pt>
                <c:pt idx="4">
                  <c:v>0.31508232970459149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3-924F-8F77-52F710A97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605951"/>
        <c:axId val="544363935"/>
      </c:lineChart>
      <c:catAx>
        <c:axId val="151696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42360015"/>
        <c:crosses val="autoZero"/>
        <c:auto val="1"/>
        <c:lblAlgn val="ctr"/>
        <c:lblOffset val="100"/>
        <c:noMultiLvlLbl val="0"/>
      </c:catAx>
      <c:valAx>
        <c:axId val="1542360015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16963743"/>
        <c:crosses val="autoZero"/>
        <c:crossBetween val="between"/>
      </c:valAx>
      <c:valAx>
        <c:axId val="54436393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83605951"/>
        <c:crosses val="max"/>
        <c:crossBetween val="between"/>
      </c:valAx>
      <c:catAx>
        <c:axId val="983605951"/>
        <c:scaling>
          <c:orientation val="minMax"/>
        </c:scaling>
        <c:delete val="1"/>
        <c:axPos val="b"/>
        <c:majorTickMark val="none"/>
        <c:minorTickMark val="none"/>
        <c:tickLblPos val="nextTo"/>
        <c:crossAx val="544363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81619045652287"/>
          <c:y val="2.4298316964388396E-2"/>
          <c:w val="0.83954254123934879"/>
          <c:h val="0.8486776945332533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'!$A$366:$E$366</c:f>
              <c:numCache>
                <c:formatCode>#,##0_);[Red]\(#,##0\)</c:formatCode>
                <c:ptCount val="5"/>
                <c:pt idx="0">
                  <c:v>74</c:v>
                </c:pt>
                <c:pt idx="1">
                  <c:v>3816</c:v>
                </c:pt>
                <c:pt idx="2">
                  <c:v>3429</c:v>
                </c:pt>
                <c:pt idx="3">
                  <c:v>2088</c:v>
                </c:pt>
                <c:pt idx="4">
                  <c:v>518167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4-D846-BA67-2A2C1A92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683039"/>
        <c:axId val="1410913567"/>
      </c:lineChart>
      <c:catAx>
        <c:axId val="24268303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10913567"/>
        <c:crosses val="autoZero"/>
        <c:auto val="1"/>
        <c:lblAlgn val="ctr"/>
        <c:lblOffset val="100"/>
        <c:noMultiLvlLbl val="0"/>
      </c:catAx>
      <c:valAx>
        <c:axId val="1410913567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4268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'!$AD$137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val>
            <c:numRef>
              <c:f>'Exhibit '!$AL$137:$AP$137</c:f>
              <c:numCache>
                <c:formatCode>0.00</c:formatCode>
                <c:ptCount val="5"/>
                <c:pt idx="0">
                  <c:v>0.57999999999999996</c:v>
                </c:pt>
                <c:pt idx="1">
                  <c:v>0.53</c:v>
                </c:pt>
                <c:pt idx="2">
                  <c:v>0.75</c:v>
                </c:pt>
                <c:pt idx="3">
                  <c:v>0.57999999999999996</c:v>
                </c:pt>
                <c:pt idx="4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B-5A49-A8B1-62ECD6661CF4}"/>
            </c:ext>
          </c:extLst>
        </c:ser>
        <c:ser>
          <c:idx val="1"/>
          <c:order val="1"/>
          <c:tx>
            <c:strRef>
              <c:f>'Exhibit '!$AD$138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'Exhibit '!$AL$138:$AP$138</c:f>
              <c:numCache>
                <c:formatCode>0.00</c:formatCode>
                <c:ptCount val="5"/>
                <c:pt idx="0">
                  <c:v>0.33</c:v>
                </c:pt>
                <c:pt idx="1">
                  <c:v>0.33</c:v>
                </c:pt>
                <c:pt idx="2">
                  <c:v>0.61</c:v>
                </c:pt>
                <c:pt idx="3">
                  <c:v>0.54</c:v>
                </c:pt>
                <c:pt idx="4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B-5A49-A8B1-62ECD6661CF4}"/>
            </c:ext>
          </c:extLst>
        </c:ser>
        <c:ser>
          <c:idx val="2"/>
          <c:order val="2"/>
          <c:tx>
            <c:strRef>
              <c:f>'Exhibit '!$AD$139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'Exhibit '!$AL$139:$AP$139</c:f>
              <c:numCache>
                <c:formatCode>0.00</c:formatCode>
                <c:ptCount val="5"/>
                <c:pt idx="0">
                  <c:v>0.55000000000000004</c:v>
                </c:pt>
                <c:pt idx="1">
                  <c:v>0.56999999999999995</c:v>
                </c:pt>
                <c:pt idx="2">
                  <c:v>1.07</c:v>
                </c:pt>
                <c:pt idx="3">
                  <c:v>0.71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B-5A49-A8B1-62ECD6661CF4}"/>
            </c:ext>
          </c:extLst>
        </c:ser>
        <c:ser>
          <c:idx val="3"/>
          <c:order val="3"/>
          <c:tx>
            <c:strRef>
              <c:f>'Exhibit '!$AD$140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'Exhibit '!$AL$140:$AP$140</c:f>
              <c:numCache>
                <c:formatCode>0.00</c:formatCode>
                <c:ptCount val="5"/>
                <c:pt idx="0">
                  <c:v>0.93</c:v>
                </c:pt>
                <c:pt idx="1">
                  <c:v>0.86</c:v>
                </c:pt>
                <c:pt idx="2">
                  <c:v>0.98</c:v>
                </c:pt>
                <c:pt idx="3">
                  <c:v>0.9</c:v>
                </c:pt>
                <c:pt idx="4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B-5A49-A8B1-62ECD6661CF4}"/>
            </c:ext>
          </c:extLst>
        </c:ser>
        <c:ser>
          <c:idx val="4"/>
          <c:order val="4"/>
          <c:tx>
            <c:strRef>
              <c:f>'Exhibit '!$AD$141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val>
            <c:numRef>
              <c:f>'Exhibit '!$AL$141:$AP$141</c:f>
              <c:numCache>
                <c:formatCode>0.00</c:formatCode>
                <c:ptCount val="5"/>
                <c:pt idx="0">
                  <c:v>0.56499999999999995</c:v>
                </c:pt>
                <c:pt idx="1">
                  <c:v>0.55000000000000004</c:v>
                </c:pt>
                <c:pt idx="2">
                  <c:v>0.86499999999999999</c:v>
                </c:pt>
                <c:pt idx="3">
                  <c:v>0.64500000000000002</c:v>
                </c:pt>
                <c:pt idx="4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B-5A49-A8B1-62ECD6661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'Peers '!$O$30</c:f>
              <c:strCache>
                <c:ptCount val="1"/>
                <c:pt idx="0">
                  <c:v>Current Ratio 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'Peers '!$P$10:$T$10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'!$P$30:$T$30</c:f>
              <c:numCache>
                <c:formatCode>#,##0.0_);[Red]\(#,##0.0\)</c:formatCode>
                <c:ptCount val="5"/>
                <c:pt idx="0">
                  <c:v>1.2</c:v>
                </c:pt>
                <c:pt idx="1">
                  <c:v>1.1599999999999999</c:v>
                </c:pt>
                <c:pt idx="2">
                  <c:v>1.19</c:v>
                </c:pt>
                <c:pt idx="3">
                  <c:v>1.1200000000000001</c:v>
                </c:pt>
                <c:pt idx="4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F-8F43-BCDC-AF220CDBD452}"/>
            </c:ext>
          </c:extLst>
        </c:ser>
        <c:ser>
          <c:idx val="1"/>
          <c:order val="1"/>
          <c:tx>
            <c:strRef>
              <c:f>'Peers '!$O$31</c:f>
              <c:strCache>
                <c:ptCount val="1"/>
                <c:pt idx="0">
                  <c:v>Quick Ratio 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'Peers '!$P$10:$T$10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'!$P$31:$T$31</c:f>
              <c:numCache>
                <c:formatCode>#,##0.00_);[Red]\(#,##0.00\)</c:formatCode>
                <c:ptCount val="5"/>
                <c:pt idx="0">
                  <c:v>0.57999999999999996</c:v>
                </c:pt>
                <c:pt idx="1">
                  <c:v>0.53</c:v>
                </c:pt>
                <c:pt idx="2">
                  <c:v>0.75</c:v>
                </c:pt>
                <c:pt idx="3">
                  <c:v>0.57999999999999996</c:v>
                </c:pt>
                <c:pt idx="4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F-8F43-BCDC-AF220CDBD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067151"/>
        <c:axId val="1410526159"/>
      </c:barChart>
      <c:catAx>
        <c:axId val="154206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10526159"/>
        <c:crosses val="autoZero"/>
        <c:auto val="1"/>
        <c:lblAlgn val="ctr"/>
        <c:lblOffset val="100"/>
        <c:noMultiLvlLbl val="0"/>
      </c:catAx>
      <c:valAx>
        <c:axId val="1410526159"/>
        <c:scaling>
          <c:orientation val="minMax"/>
        </c:scaling>
        <c:delete val="0"/>
        <c:axPos val="l"/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4206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73-0C47-A1E4-1BB4BDC893E0}"/>
              </c:ext>
            </c:extLst>
          </c:dPt>
          <c:dPt>
            <c:idx val="6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73-0C47-A1E4-1BB4BDC893E0}"/>
              </c:ext>
            </c:extLst>
          </c:dPt>
          <c:dPt>
            <c:idx val="7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73-0C47-A1E4-1BB4BDC893E0}"/>
              </c:ext>
            </c:extLst>
          </c:dPt>
          <c:dPt>
            <c:idx val="8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73-0C47-A1E4-1BB4BDC893E0}"/>
              </c:ext>
            </c:extLst>
          </c:dPt>
          <c:dPt>
            <c:idx val="9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C73-0C47-A1E4-1BB4BDC893E0}"/>
              </c:ext>
            </c:extLst>
          </c:dPt>
          <c:dPt>
            <c:idx val="10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73-0C47-A1E4-1BB4BDC893E0}"/>
              </c:ext>
            </c:extLst>
          </c:dPt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breakdown'!$B$6:$L$6</c:f>
              <c:numCache>
                <c:formatCode>#,##0_);[Red]\(#,##0\)</c:formatCode>
                <c:ptCount val="11"/>
                <c:pt idx="0">
                  <c:v>15298357</c:v>
                </c:pt>
                <c:pt idx="1">
                  <c:v>16123176</c:v>
                </c:pt>
                <c:pt idx="2">
                  <c:v>13475727</c:v>
                </c:pt>
                <c:pt idx="3">
                  <c:v>18558083</c:v>
                </c:pt>
                <c:pt idx="4">
                  <c:v>20688829</c:v>
                </c:pt>
                <c:pt idx="5">
                  <c:v>23092194.54936434</c:v>
                </c:pt>
                <c:pt idx="6">
                  <c:v>24063013.352757327</c:v>
                </c:pt>
                <c:pt idx="7">
                  <c:v>25208972.199278582</c:v>
                </c:pt>
                <c:pt idx="8">
                  <c:v>26588987.303471394</c:v>
                </c:pt>
                <c:pt idx="9">
                  <c:v>27225509.423503224</c:v>
                </c:pt>
                <c:pt idx="10">
                  <c:v>28714445.906342927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3-0C47-A1E4-1BB4BDC89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634655"/>
        <c:axId val="1907249983"/>
      </c:barChart>
      <c:catAx>
        <c:axId val="11266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07249983"/>
        <c:crosses val="autoZero"/>
        <c:auto val="1"/>
        <c:lblAlgn val="ctr"/>
        <c:lblOffset val="100"/>
        <c:noMultiLvlLbl val="0"/>
      </c:catAx>
      <c:valAx>
        <c:axId val="1907249983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663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34EA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8C-BF48-AC79-DD0A5AD60DC8}"/>
              </c:ext>
            </c:extLst>
          </c:dPt>
          <c:dPt>
            <c:idx val="6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8C-BF48-AC79-DD0A5AD60DC8}"/>
              </c:ext>
            </c:extLst>
          </c:dPt>
          <c:dPt>
            <c:idx val="7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8C-BF48-AC79-DD0A5AD60DC8}"/>
              </c:ext>
            </c:extLst>
          </c:dPt>
          <c:dPt>
            <c:idx val="8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8C-BF48-AC79-DD0A5AD60DC8}"/>
              </c:ext>
            </c:extLst>
          </c:dPt>
          <c:dPt>
            <c:idx val="9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88C-BF48-AC79-DD0A5AD60DC8}"/>
              </c:ext>
            </c:extLst>
          </c:dPt>
          <c:dPt>
            <c:idx val="10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88C-BF48-AC79-DD0A5AD60DC8}"/>
              </c:ext>
            </c:extLst>
          </c:dPt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breakdown'!$B$12:$L$12</c:f>
              <c:numCache>
                <c:formatCode>#,##0_);[Red]\(#,##0\)</c:formatCode>
                <c:ptCount val="11"/>
                <c:pt idx="0">
                  <c:v>345000</c:v>
                </c:pt>
                <c:pt idx="1">
                  <c:v>510783</c:v>
                </c:pt>
                <c:pt idx="2">
                  <c:v>1190840</c:v>
                </c:pt>
                <c:pt idx="3">
                  <c:v>3977188</c:v>
                </c:pt>
                <c:pt idx="4">
                  <c:v>9595942</c:v>
                </c:pt>
                <c:pt idx="5">
                  <c:v>15291994.751282051</c:v>
                </c:pt>
                <c:pt idx="6">
                  <c:v>17149972.113562819</c:v>
                </c:pt>
                <c:pt idx="7">
                  <c:v>19233693.725360699</c:v>
                </c:pt>
                <c:pt idx="8">
                  <c:v>21570587.512992024</c:v>
                </c:pt>
                <c:pt idx="9">
                  <c:v>24191413.895820554</c:v>
                </c:pt>
                <c:pt idx="10">
                  <c:v>27130670.684162751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8C-BF48-AC79-DD0A5AD60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634655"/>
        <c:axId val="1907249983"/>
      </c:barChart>
      <c:catAx>
        <c:axId val="11266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07249983"/>
        <c:crosses val="autoZero"/>
        <c:auto val="1"/>
        <c:lblAlgn val="ctr"/>
        <c:lblOffset val="100"/>
        <c:noMultiLvlLbl val="0"/>
      </c:catAx>
      <c:valAx>
        <c:axId val="1907249983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663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34EA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33-8D4F-BA0A-FB420BEE934C}"/>
              </c:ext>
            </c:extLst>
          </c:dPt>
          <c:dPt>
            <c:idx val="6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33-8D4F-BA0A-FB420BEE934C}"/>
              </c:ext>
            </c:extLst>
          </c:dPt>
          <c:dPt>
            <c:idx val="7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33-8D4F-BA0A-FB420BEE934C}"/>
              </c:ext>
            </c:extLst>
          </c:dPt>
          <c:dPt>
            <c:idx val="8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33-8D4F-BA0A-FB420BEE934C}"/>
              </c:ext>
            </c:extLst>
          </c:dPt>
          <c:dPt>
            <c:idx val="9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933-8D4F-BA0A-FB420BEE934C}"/>
              </c:ext>
            </c:extLst>
          </c:dPt>
          <c:dPt>
            <c:idx val="10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933-8D4F-BA0A-FB420BEE934C}"/>
              </c:ext>
            </c:extLst>
          </c:dPt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breakdown'!$B$9:$L$9</c:f>
              <c:numCache>
                <c:formatCode>#,##0_);[Red]\(#,##0\)</c:formatCode>
                <c:ptCount val="11"/>
                <c:pt idx="0" formatCode="0">
                  <c:v>533</c:v>
                </c:pt>
                <c:pt idx="1">
                  <c:v>593</c:v>
                </c:pt>
                <c:pt idx="2">
                  <c:v>595</c:v>
                </c:pt>
                <c:pt idx="3">
                  <c:v>647</c:v>
                </c:pt>
                <c:pt idx="4">
                  <c:v>786</c:v>
                </c:pt>
                <c:pt idx="5">
                  <c:v>864.58636858120371</c:v>
                </c:pt>
                <c:pt idx="6">
                  <c:v>914.58636858120371</c:v>
                </c:pt>
                <c:pt idx="7">
                  <c:v>964.58636858120371</c:v>
                </c:pt>
                <c:pt idx="8">
                  <c:v>990.95310664219073</c:v>
                </c:pt>
                <c:pt idx="9">
                  <c:v>1028.8755598122298</c:v>
                </c:pt>
                <c:pt idx="10">
                  <c:v>1083.9987326067333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33-8D4F-BA0A-FB420BEE934C}"/>
            </c:ext>
          </c:extLst>
        </c:ser>
        <c:ser>
          <c:idx val="1"/>
          <c:order val="1"/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breakdown'!$B$16:$L$16</c:f>
              <c:numCache>
                <c:formatCode>0</c:formatCode>
                <c:ptCount val="11"/>
                <c:pt idx="0">
                  <c:v>30</c:v>
                </c:pt>
                <c:pt idx="1">
                  <c:v>68</c:v>
                </c:pt>
                <c:pt idx="2">
                  <c:v>200</c:v>
                </c:pt>
                <c:pt idx="3">
                  <c:v>400</c:v>
                </c:pt>
                <c:pt idx="4">
                  <c:v>1000</c:v>
                </c:pt>
                <c:pt idx="5" formatCode="#,##0_);[Red]\(#,##0\)">
                  <c:v>1593.5897435897436</c:v>
                </c:pt>
                <c:pt idx="6" formatCode="#,##0_);[Red]\(#,##0\)">
                  <c:v>1902.0101847873666</c:v>
                </c:pt>
                <c:pt idx="7" formatCode="#,##0_);[Red]\(#,##0\)">
                  <c:v>2235.7251334282928</c:v>
                </c:pt>
                <c:pt idx="8" formatCode="#,##0_);[Red]\(#,##0\)">
                  <c:v>2455.4488295398805</c:v>
                </c:pt>
                <c:pt idx="9" formatCode="#,##0_);[Red]\(#,##0\)">
                  <c:v>2613.4379676030494</c:v>
                </c:pt>
                <c:pt idx="10" formatCode="#,##0_);[Red]\(#,##0\)">
                  <c:v>2967.6484884234728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933-8D4F-BA0A-FB420BEE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6594527"/>
        <c:axId val="1382604367"/>
      </c:barChart>
      <c:catAx>
        <c:axId val="11265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82604367"/>
        <c:crosses val="autoZero"/>
        <c:auto val="1"/>
        <c:lblAlgn val="ctr"/>
        <c:lblOffset val="100"/>
        <c:noMultiLvlLbl val="0"/>
      </c:catAx>
      <c:valAx>
        <c:axId val="138260436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65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v>FPT Shop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breakdown'!$B$8:$L$8</c:f>
              <c:numCache>
                <c:formatCode>0.00%</c:formatCode>
                <c:ptCount val="11"/>
                <c:pt idx="0">
                  <c:v>0.97744852626119116</c:v>
                </c:pt>
                <c:pt idx="1">
                  <c:v>0.9692926999944691</c:v>
                </c:pt>
                <c:pt idx="2">
                  <c:v>0.91912855353612821</c:v>
                </c:pt>
                <c:pt idx="3">
                  <c:v>0.82498844963545392</c:v>
                </c:pt>
                <c:pt idx="4">
                  <c:v>0.68583721678731491</c:v>
                </c:pt>
                <c:pt idx="5">
                  <c:v>0.60160693686906819</c:v>
                </c:pt>
                <c:pt idx="6">
                  <c:v>0.58386969738996408</c:v>
                </c:pt>
                <c:pt idx="7">
                  <c:v>0.56722457293684925</c:v>
                </c:pt>
                <c:pt idx="8">
                  <c:v>0.55210178671224297</c:v>
                </c:pt>
                <c:pt idx="9">
                  <c:v>0.52950483354322353</c:v>
                </c:pt>
                <c:pt idx="10">
                  <c:v>0.514180069081004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0141-B2ED-5A75727E5521}"/>
            </c:ext>
          </c:extLst>
        </c:ser>
        <c:ser>
          <c:idx val="1"/>
          <c:order val="1"/>
          <c:tx>
            <c:v>FPT Long Chau</c:v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'Revenue breakdown'!$B$15:$L$15</c:f>
              <c:numCache>
                <c:formatCode>0.00%</c:formatCode>
                <c:ptCount val="11"/>
                <c:pt idx="0">
                  <c:v>2.2551473738808833E-2</c:v>
                </c:pt>
                <c:pt idx="1">
                  <c:v>3.0707239887555339E-2</c:v>
                </c:pt>
                <c:pt idx="2">
                  <c:v>8.1222708555387241E-2</c:v>
                </c:pt>
                <c:pt idx="3">
                  <c:v>0.17680350723879895</c:v>
                </c:pt>
                <c:pt idx="4">
                  <c:v>0.3181066532925812</c:v>
                </c:pt>
                <c:pt idx="5">
                  <c:v>0.3983930631309317</c:v>
                </c:pt>
                <c:pt idx="6">
                  <c:v>0.41613030261003603</c:v>
                </c:pt>
                <c:pt idx="7">
                  <c:v>0.43277542706315064</c:v>
                </c:pt>
                <c:pt idx="8">
                  <c:v>0.44789821328775703</c:v>
                </c:pt>
                <c:pt idx="9">
                  <c:v>0.47049516645677653</c:v>
                </c:pt>
                <c:pt idx="10">
                  <c:v>0.48581993091899611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4-0141-B2ED-5A75727E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2307023"/>
        <c:axId val="1383022319"/>
      </c:barChart>
      <c:catAx>
        <c:axId val="138230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83022319"/>
        <c:crosses val="autoZero"/>
        <c:auto val="1"/>
        <c:lblAlgn val="ctr"/>
        <c:lblOffset val="100"/>
        <c:noMultiLvlLbl val="0"/>
      </c:catAx>
      <c:valAx>
        <c:axId val="13830223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8230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Income'!$E$23:$O$23</c:f>
              <c:numCache>
                <c:formatCode>#,##0_);[Red]\(#,##0\)</c:formatCode>
                <c:ptCount val="11"/>
                <c:pt idx="0">
                  <c:v>15298335</c:v>
                </c:pt>
                <c:pt idx="1">
                  <c:v>16633960</c:v>
                </c:pt>
                <c:pt idx="2">
                  <c:v>14661417</c:v>
                </c:pt>
                <c:pt idx="3">
                  <c:v>22494961</c:v>
                </c:pt>
                <c:pt idx="4">
                  <c:v>30165801</c:v>
                </c:pt>
                <c:pt idx="5">
                  <c:v>38384189.300646394</c:v>
                </c:pt>
                <c:pt idx="6">
                  <c:v>41212985.466320142</c:v>
                </c:pt>
                <c:pt idx="7">
                  <c:v>44442665.924639285</c:v>
                </c:pt>
                <c:pt idx="8">
                  <c:v>48159574.816463418</c:v>
                </c:pt>
                <c:pt idx="9">
                  <c:v>51416923.319323778</c:v>
                </c:pt>
                <c:pt idx="10">
                  <c:v>55845116.590505674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E-F54C-A11D-B2365C4AD3A7}"/>
            </c:ext>
          </c:extLst>
        </c:ser>
        <c:ser>
          <c:idx val="1"/>
          <c:order val="1"/>
          <c:tx>
            <c:v>COGS</c:v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Income'!$E$29:$O$29</c:f>
              <c:numCache>
                <c:formatCode>#,##0_);[Red]\(#,##0\)</c:formatCode>
                <c:ptCount val="11"/>
                <c:pt idx="0">
                  <c:v>13254725</c:v>
                </c:pt>
                <c:pt idx="1">
                  <c:v>14522903</c:v>
                </c:pt>
                <c:pt idx="2">
                  <c:v>12620415</c:v>
                </c:pt>
                <c:pt idx="3">
                  <c:v>19343448</c:v>
                </c:pt>
                <c:pt idx="4">
                  <c:v>25462623</c:v>
                </c:pt>
                <c:pt idx="5">
                  <c:v>32399674.761594854</c:v>
                </c:pt>
                <c:pt idx="6">
                  <c:v>35294454.546744555</c:v>
                </c:pt>
                <c:pt idx="7">
                  <c:v>37911923.455914542</c:v>
                </c:pt>
                <c:pt idx="8">
                  <c:v>41008104.683829993</c:v>
                </c:pt>
                <c:pt idx="9">
                  <c:v>43695406.062559783</c:v>
                </c:pt>
                <c:pt idx="10">
                  <c:v>47522665.937645428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E-F54C-A11D-B2365C4AD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929263"/>
        <c:axId val="2048395360"/>
      </c:barChart>
      <c:catAx>
        <c:axId val="161392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048395360"/>
        <c:crosses val="autoZero"/>
        <c:auto val="1"/>
        <c:lblAlgn val="ctr"/>
        <c:lblOffset val="100"/>
        <c:noMultiLvlLbl val="0"/>
      </c:catAx>
      <c:valAx>
        <c:axId val="2048395360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1392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'FPT Digital Retail JSC | Income'!$A$32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Income'!$B$32:$O$32</c:f>
              <c:numCache>
                <c:formatCode>#,##0_);[Red]\(#,##0\)</c:formatCode>
                <c:ptCount val="12"/>
                <c:pt idx="1">
                  <c:v>2043610</c:v>
                </c:pt>
                <c:pt idx="2">
                  <c:v>2111057</c:v>
                </c:pt>
                <c:pt idx="3">
                  <c:v>2041002</c:v>
                </c:pt>
                <c:pt idx="4">
                  <c:v>3151513</c:v>
                </c:pt>
                <c:pt idx="5">
                  <c:v>4703178</c:v>
                </c:pt>
                <c:pt idx="6">
                  <c:v>5984514.5390515402</c:v>
                </c:pt>
                <c:pt idx="7">
                  <c:v>5918530.9195755869</c:v>
                </c:pt>
                <c:pt idx="8">
                  <c:v>6530742.4687247425</c:v>
                </c:pt>
                <c:pt idx="9">
                  <c:v>7151470.1326334253</c:v>
                </c:pt>
                <c:pt idx="10">
                  <c:v>7721517.2567639947</c:v>
                </c:pt>
                <c:pt idx="11">
                  <c:v>8322450.6528602466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C-5843-8E98-54D1C97B290E}"/>
            </c:ext>
          </c:extLst>
        </c:ser>
        <c:ser>
          <c:idx val="1"/>
          <c:order val="1"/>
          <c:tx>
            <c:strRef>
              <c:f>'FPT Digital Retail JSC | Income'!$A$39</c:f>
              <c:strCache>
                <c:ptCount val="1"/>
                <c:pt idx="0">
                  <c:v>Selling/General/Admin. Expenses, Total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Income'!$B$39:$O$39</c:f>
              <c:numCache>
                <c:formatCode>#,##0_);[Red]\(#,##0\)</c:formatCode>
                <c:ptCount val="12"/>
                <c:pt idx="1">
                  <c:v>1583114</c:v>
                </c:pt>
                <c:pt idx="2">
                  <c:v>1768320</c:v>
                </c:pt>
                <c:pt idx="3">
                  <c:v>1935903</c:v>
                </c:pt>
                <c:pt idx="4">
                  <c:v>2656653</c:v>
                </c:pt>
                <c:pt idx="5">
                  <c:v>4146636</c:v>
                </c:pt>
                <c:pt idx="6">
                  <c:v>4961021.4138848651</c:v>
                </c:pt>
                <c:pt idx="7">
                  <c:v>5309552.5681383852</c:v>
                </c:pt>
                <c:pt idx="8">
                  <c:v>5942836.7634142833</c:v>
                </c:pt>
                <c:pt idx="9">
                  <c:v>6379781.9611718133</c:v>
                </c:pt>
                <c:pt idx="10">
                  <c:v>6913568.7722332375</c:v>
                </c:pt>
                <c:pt idx="11">
                  <c:v>7577439.6470100051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C-5843-8E98-54D1C97B2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147391"/>
        <c:axId val="111481167"/>
      </c:barChart>
      <c:catAx>
        <c:axId val="154214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1481167"/>
        <c:crosses val="autoZero"/>
        <c:auto val="1"/>
        <c:lblAlgn val="ctr"/>
        <c:lblOffset val="100"/>
        <c:noMultiLvlLbl val="0"/>
      </c:catAx>
      <c:valAx>
        <c:axId val="11148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4214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34EA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FA-E449-887A-D5A79417ADA2}"/>
              </c:ext>
            </c:extLst>
          </c:dPt>
          <c:dPt>
            <c:idx val="6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FA-E449-887A-D5A79417ADA2}"/>
              </c:ext>
            </c:extLst>
          </c:dPt>
          <c:dPt>
            <c:idx val="7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FA-E449-887A-D5A79417ADA2}"/>
              </c:ext>
            </c:extLst>
          </c:dPt>
          <c:dPt>
            <c:idx val="8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5FA-E449-887A-D5A79417ADA2}"/>
              </c:ext>
            </c:extLst>
          </c:dPt>
          <c:dPt>
            <c:idx val="9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FA-E449-887A-D5A79417ADA2}"/>
              </c:ext>
            </c:extLst>
          </c:dPt>
          <c:dPt>
            <c:idx val="10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5FA-E449-887A-D5A79417ADA2}"/>
              </c:ext>
            </c:extLst>
          </c:dPt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'Exhibit '!$A$451:$K$451</c:f>
              <c:numCache>
                <c:formatCode>General</c:formatCode>
                <c:ptCount val="11"/>
                <c:pt idx="0">
                  <c:v>74</c:v>
                </c:pt>
                <c:pt idx="1">
                  <c:v>3816</c:v>
                </c:pt>
                <c:pt idx="2">
                  <c:v>3429</c:v>
                </c:pt>
                <c:pt idx="3">
                  <c:v>2088</c:v>
                </c:pt>
                <c:pt idx="4">
                  <c:v>518167</c:v>
                </c:pt>
                <c:pt idx="5">
                  <c:v>359049.10207620118</c:v>
                </c:pt>
                <c:pt idx="6">
                  <c:v>50511.967790634051</c:v>
                </c:pt>
                <c:pt idx="7">
                  <c:v>58165.236570548746</c:v>
                </c:pt>
                <c:pt idx="8">
                  <c:v>77160.29286590188</c:v>
                </c:pt>
                <c:pt idx="9">
                  <c:v>68362.674619058584</c:v>
                </c:pt>
                <c:pt idx="10">
                  <c:v>115444.171077187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A-E449-887A-D5A79417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57935"/>
        <c:axId val="190193007"/>
      </c:barChart>
      <c:catAx>
        <c:axId val="1903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0193007"/>
        <c:crosses val="autoZero"/>
        <c:auto val="1"/>
        <c:lblAlgn val="ctr"/>
        <c:lblOffset val="100"/>
        <c:noMultiLvlLbl val="0"/>
      </c:catAx>
      <c:valAx>
        <c:axId val="190193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035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FPT Shop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BS'!$D$40:$N$40</c:f>
              <c:numCache>
                <c:formatCode>#,##0_);[Red]\(#,##0\)</c:formatCode>
                <c:ptCount val="11"/>
                <c:pt idx="0">
                  <c:v>2449700.0680377963</c:v>
                </c:pt>
                <c:pt idx="1">
                  <c:v>3279642.5607246859</c:v>
                </c:pt>
                <c:pt idx="2">
                  <c:v>1678988.673058409</c:v>
                </c:pt>
                <c:pt idx="3">
                  <c:v>4067489.2275562068</c:v>
                </c:pt>
                <c:pt idx="4">
                  <c:v>4446850.5496476628</c:v>
                </c:pt>
                <c:pt idx="5">
                  <c:v>5144009.353730699</c:v>
                </c:pt>
                <c:pt idx="6">
                  <c:v>5309698.0110443821</c:v>
                </c:pt>
                <c:pt idx="7">
                  <c:v>5676725.9945350746</c:v>
                </c:pt>
                <c:pt idx="8">
                  <c:v>5801236.4140276471</c:v>
                </c:pt>
                <c:pt idx="9">
                  <c:v>6048683.3774015121</c:v>
                </c:pt>
                <c:pt idx="10">
                  <c:v>6369454.7234151531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A-904F-B68F-3B3B4F2E84F6}"/>
            </c:ext>
          </c:extLst>
        </c:ser>
        <c:ser>
          <c:idx val="1"/>
          <c:order val="1"/>
          <c:tx>
            <c:v>FPT Long Chau</c:v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BS'!$D$43:$N$43</c:f>
              <c:numCache>
                <c:formatCode>#,##0_);[Red]\(#,##0\)</c:formatCode>
                <c:ptCount val="11"/>
                <c:pt idx="0">
                  <c:v>56518.931962203736</c:v>
                </c:pt>
                <c:pt idx="1">
                  <c:v>103899.23586361877</c:v>
                </c:pt>
                <c:pt idx="2">
                  <c:v>148370.98372687987</c:v>
                </c:pt>
                <c:pt idx="3">
                  <c:v>871704.76314637752</c:v>
                </c:pt>
                <c:pt idx="4">
                  <c:v>2062548.8256047301</c:v>
                </c:pt>
                <c:pt idx="5">
                  <c:v>2675815.6583564016</c:v>
                </c:pt>
                <c:pt idx="6">
                  <c:v>2914519.6560669262</c:v>
                </c:pt>
                <c:pt idx="7">
                  <c:v>3184411.918701692</c:v>
                </c:pt>
                <c:pt idx="8">
                  <c:v>3221258.9755598973</c:v>
                </c:pt>
                <c:pt idx="9">
                  <c:v>3143335.8117784476</c:v>
                </c:pt>
                <c:pt idx="10">
                  <c:v>3280016.8169416366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A-904F-B68F-3B3B4F2E8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2585951"/>
        <c:axId val="469493839"/>
      </c:barChart>
      <c:catAx>
        <c:axId val="32258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69493839"/>
        <c:crosses val="autoZero"/>
        <c:auto val="1"/>
        <c:lblAlgn val="ctr"/>
        <c:lblOffset val="100"/>
        <c:noMultiLvlLbl val="0"/>
      </c:catAx>
      <c:valAx>
        <c:axId val="469493839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2258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Account Receivables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BS'!$D$30:$N$30</c:f>
              <c:numCache>
                <c:formatCode>#,##0_);[Red]\(#,##0\)</c:formatCode>
                <c:ptCount val="11"/>
                <c:pt idx="0">
                  <c:v>997840</c:v>
                </c:pt>
                <c:pt idx="1">
                  <c:v>888087</c:v>
                </c:pt>
                <c:pt idx="2">
                  <c:v>545692</c:v>
                </c:pt>
                <c:pt idx="3">
                  <c:v>477246</c:v>
                </c:pt>
                <c:pt idx="4">
                  <c:v>603715</c:v>
                </c:pt>
                <c:pt idx="5">
                  <c:v>1512827.5851792605</c:v>
                </c:pt>
                <c:pt idx="6">
                  <c:v>1533930.6197407229</c:v>
                </c:pt>
                <c:pt idx="7">
                  <c:v>1654138.0177474155</c:v>
                </c:pt>
                <c:pt idx="8">
                  <c:v>1792479.8606264016</c:v>
                </c:pt>
                <c:pt idx="9">
                  <c:v>1913717.0520399516</c:v>
                </c:pt>
                <c:pt idx="10">
                  <c:v>2078532.6113094131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6-F44A-A092-8913B94F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571231"/>
        <c:axId val="1954622047"/>
      </c:barChart>
      <c:lineChart>
        <c:grouping val="standard"/>
        <c:varyColors val="0"/>
        <c:ser>
          <c:idx val="1"/>
          <c:order val="1"/>
          <c:tx>
            <c:v>Contribution to Revenue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'FPT Digital Retail JSC | BS'!$D$31:$N$31</c:f>
              <c:numCache>
                <c:formatCode>0%</c:formatCode>
                <c:ptCount val="11"/>
                <c:pt idx="0">
                  <c:v>6.5225398711689864E-2</c:v>
                </c:pt>
                <c:pt idx="1">
                  <c:v>5.3389992521323849E-2</c:v>
                </c:pt>
                <c:pt idx="2">
                  <c:v>3.7219594804513097E-2</c:v>
                </c:pt>
                <c:pt idx="3">
                  <c:v>2.1215684703787662E-2</c:v>
                </c:pt>
                <c:pt idx="4">
                  <c:v>2.0013226235895409E-2</c:v>
                </c:pt>
                <c:pt idx="5" formatCode="0.0%">
                  <c:v>3.9412779395441973E-2</c:v>
                </c:pt>
                <c:pt idx="6" formatCode="0.0%">
                  <c:v>3.7219594804513097E-2</c:v>
                </c:pt>
                <c:pt idx="7" formatCode="0.0%">
                  <c:v>3.7219594804513097E-2</c:v>
                </c:pt>
                <c:pt idx="8" formatCode="0.0%">
                  <c:v>3.7219594804513097E-2</c:v>
                </c:pt>
                <c:pt idx="9" formatCode="0.0%">
                  <c:v>3.7219594804513097E-2</c:v>
                </c:pt>
                <c:pt idx="10" formatCode="0.0%">
                  <c:v>3.7219594804513097E-2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6-F44A-A092-8913B94F4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079391"/>
        <c:axId val="1827283823"/>
      </c:lineChart>
      <c:catAx>
        <c:axId val="17695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54622047"/>
        <c:crosses val="autoZero"/>
        <c:auto val="1"/>
        <c:lblAlgn val="ctr"/>
        <c:lblOffset val="100"/>
        <c:noMultiLvlLbl val="0"/>
      </c:catAx>
      <c:valAx>
        <c:axId val="1954622047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69571231"/>
        <c:crosses val="autoZero"/>
        <c:crossBetween val="between"/>
      </c:valAx>
      <c:valAx>
        <c:axId val="182728382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27079391"/>
        <c:crosses val="max"/>
        <c:crossBetween val="between"/>
      </c:valAx>
      <c:catAx>
        <c:axId val="18270793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7283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'Revenue breakdown'!$C$2:$F$2</c:f>
              <c:numCache>
                <c:formatCode>0</c:formatCod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numCache>
            </c:numRef>
          </c:cat>
          <c:val>
            <c:numRef>
              <c:f>'Key financial ratios'!$F$47:$I$47</c:f>
              <c:numCache>
                <c:formatCode>#,##0.0_);[Red]\(#,##0.0\)</c:formatCode>
                <c:ptCount val="4"/>
                <c:pt idx="0">
                  <c:v>-9.9999999999997868E-2</c:v>
                </c:pt>
                <c:pt idx="1">
                  <c:v>7.3999999999999986</c:v>
                </c:pt>
                <c:pt idx="2">
                  <c:v>-4.8000000000000007</c:v>
                </c:pt>
                <c:pt idx="3">
                  <c:v>-11.899999999999999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B-384A-9156-60CE484A4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108831"/>
        <c:axId val="711475120"/>
      </c:barChart>
      <c:catAx>
        <c:axId val="32210883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11475120"/>
        <c:crosses val="autoZero"/>
        <c:auto val="1"/>
        <c:lblAlgn val="ctr"/>
        <c:lblOffset val="100"/>
        <c:noMultiLvlLbl val="0"/>
      </c:catAx>
      <c:valAx>
        <c:axId val="711475120"/>
        <c:scaling>
          <c:orientation val="minMax"/>
        </c:scaling>
        <c:delete val="0"/>
        <c:axPos val="l"/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2210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Account Payables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BS'!$D$74:$N$74</c:f>
              <c:numCache>
                <c:formatCode>#,##0_);[Red]\(#,##0\)</c:formatCode>
                <c:ptCount val="11"/>
                <c:pt idx="0">
                  <c:v>705892</c:v>
                </c:pt>
                <c:pt idx="1">
                  <c:v>1287522</c:v>
                </c:pt>
                <c:pt idx="2">
                  <c:v>1214790</c:v>
                </c:pt>
                <c:pt idx="3">
                  <c:v>2335743</c:v>
                </c:pt>
                <c:pt idx="4">
                  <c:v>2307356</c:v>
                </c:pt>
                <c:pt idx="5">
                  <c:v>3203475.5080002951</c:v>
                </c:pt>
                <c:pt idx="6">
                  <c:v>3229604.8438012907</c:v>
                </c:pt>
                <c:pt idx="7">
                  <c:v>3721366.8159476989</c:v>
                </c:pt>
                <c:pt idx="8">
                  <c:v>4083414.3315517628</c:v>
                </c:pt>
                <c:pt idx="9">
                  <c:v>4376167.330959294</c:v>
                </c:pt>
                <c:pt idx="10">
                  <c:v>4578795.8599305218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9C49-8809-3F94559A7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9571231"/>
        <c:axId val="1954622047"/>
      </c:barChart>
      <c:lineChart>
        <c:grouping val="standard"/>
        <c:varyColors val="0"/>
        <c:ser>
          <c:idx val="1"/>
          <c:order val="1"/>
          <c:tx>
            <c:v>Contribution to Revenue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'FPT Digital Retail JSC | BS'!$D$89:$N$89</c:f>
              <c:numCache>
                <c:formatCode>0.0%</c:formatCode>
                <c:ptCount val="11"/>
                <c:pt idx="0">
                  <c:v>4.6141753334594908E-2</c:v>
                </c:pt>
                <c:pt idx="1">
                  <c:v>7.7403216071218153E-2</c:v>
                </c:pt>
                <c:pt idx="2">
                  <c:v>8.2856247796512433E-2</c:v>
                </c:pt>
                <c:pt idx="3">
                  <c:v>0.10383405421329693</c:v>
                </c:pt>
                <c:pt idx="4">
                  <c:v>7.6489134168855652E-2</c:v>
                </c:pt>
                <c:pt idx="5">
                  <c:v>8.3458204181645915E-2</c:v>
                </c:pt>
                <c:pt idx="6">
                  <c:v>7.8363768294354E-2</c:v>
                </c:pt>
                <c:pt idx="7">
                  <c:v>8.3734104120980521E-2</c:v>
                </c:pt>
                <c:pt idx="8">
                  <c:v>8.478925212927424E-2</c:v>
                </c:pt>
                <c:pt idx="9">
                  <c:v>8.5111419518067888E-2</c:v>
                </c:pt>
                <c:pt idx="10">
                  <c:v>8.1990980402196365E-2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B-9C49-8809-3F94559A7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079391"/>
        <c:axId val="1827283823"/>
      </c:lineChart>
      <c:catAx>
        <c:axId val="17695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54622047"/>
        <c:crosses val="autoZero"/>
        <c:auto val="1"/>
        <c:lblAlgn val="ctr"/>
        <c:lblOffset val="100"/>
        <c:noMultiLvlLbl val="0"/>
      </c:catAx>
      <c:valAx>
        <c:axId val="1954622047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69571231"/>
        <c:crosses val="autoZero"/>
        <c:crossBetween val="between"/>
      </c:valAx>
      <c:valAx>
        <c:axId val="182728382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27079391"/>
        <c:crosses val="max"/>
        <c:crossBetween val="between"/>
      </c:valAx>
      <c:catAx>
        <c:axId val="18270793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7283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borrowings </c:v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strRef>
              <c:f>'Revenue breakdown'!$B$2:$L$2</c:f>
              <c:strCach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2023F</c:v>
                </c:pt>
                <c:pt idx="6">
                  <c:v>2024F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  <c:pt idx="10">
                  <c:v>2028F</c:v>
                </c:pt>
              </c:strCache>
            </c:strRef>
          </c:cat>
          <c:val>
            <c:numRef>
              <c:f>'FPT Digital Retail JSC | Cash F'!$D$72:$O$72</c:f>
              <c:numCache>
                <c:formatCode>#,##0_);[Red]\(#,##0\)</c:formatCode>
                <c:ptCount val="11"/>
                <c:pt idx="0">
                  <c:v>1776650</c:v>
                </c:pt>
                <c:pt idx="1">
                  <c:v>752337</c:v>
                </c:pt>
                <c:pt idx="2">
                  <c:v>-1212087</c:v>
                </c:pt>
                <c:pt idx="3">
                  <c:v>3553949</c:v>
                </c:pt>
                <c:pt idx="4">
                  <c:v>-684075</c:v>
                </c:pt>
                <c:pt idx="5" formatCode="#,##0.00_);[Red]\(#,##0.00\)">
                  <c:v>1658396.0809178401</c:v>
                </c:pt>
                <c:pt idx="6" formatCode="#,##0.00_);[Red]\(#,##0.00\)">
                  <c:v>1279682.134005625</c:v>
                </c:pt>
                <c:pt idx="7" formatCode="#,##0.00_);[Red]\(#,##0.00\)">
                  <c:v>1274943.3404187132</c:v>
                </c:pt>
                <c:pt idx="8" formatCode="#,##0.00_);[Red]\(#,##0.00\)">
                  <c:v>1248798.9217635267</c:v>
                </c:pt>
                <c:pt idx="9" formatCode="#,##0.00_);[Red]\(#,##0.00\)">
                  <c:v>2263929.6387414108</c:v>
                </c:pt>
                <c:pt idx="10" formatCode="#,##0.00_);[Red]\(#,##0.00\)">
                  <c:v>1398241.7956005828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3-0F44-9513-E53CD109D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5969439"/>
        <c:axId val="7983296"/>
      </c:barChart>
      <c:lineChart>
        <c:grouping val="standard"/>
        <c:varyColors val="0"/>
        <c:ser>
          <c:idx val="1"/>
          <c:order val="1"/>
          <c:tx>
            <c:v>% to sales growth</c:v>
          </c:tx>
          <c:spPr>
            <a:ln w="28575" cap="rnd">
              <a:solidFill>
                <a:srgbClr val="4FB946"/>
              </a:solidFill>
              <a:round/>
            </a:ln>
            <a:effectLst/>
          </c:spPr>
          <c:marker>
            <c:symbol val="none"/>
          </c:marker>
          <c:val>
            <c:numRef>
              <c:f>'FPT Digital Retail JSC | Cash F'!$D$75:$O$75</c:f>
              <c:numCache>
                <c:formatCode>0.00%</c:formatCode>
                <c:ptCount val="11"/>
                <c:pt idx="0">
                  <c:v>0.82564991495571194</c:v>
                </c:pt>
                <c:pt idx="1">
                  <c:v>0.56328460458586804</c:v>
                </c:pt>
                <c:pt idx="2">
                  <c:v>0.61447938017067305</c:v>
                </c:pt>
                <c:pt idx="3">
                  <c:v>0.45368341583324229</c:v>
                </c:pt>
                <c:pt idx="4">
                  <c:v>-8.9178629719822086E-2</c:v>
                </c:pt>
                <c:pt idx="5">
                  <c:v>0.45292448458617973</c:v>
                </c:pt>
                <c:pt idx="6">
                  <c:v>0.39080357952459116</c:v>
                </c:pt>
                <c:pt idx="7">
                  <c:v>0.39766613916345533</c:v>
                </c:pt>
                <c:pt idx="8">
                  <c:v>0.3700630615930533</c:v>
                </c:pt>
                <c:pt idx="9">
                  <c:v>0.32932700849678326</c:v>
                </c:pt>
                <c:pt idx="10">
                  <c:v>0.30860094060737348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3-0F44-9513-E53CD109D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67695"/>
        <c:axId val="1769507247"/>
      </c:lineChart>
      <c:catAx>
        <c:axId val="182596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983296"/>
        <c:crosses val="autoZero"/>
        <c:auto val="1"/>
        <c:lblAlgn val="ctr"/>
        <c:lblOffset val="100"/>
        <c:noMultiLvlLbl val="0"/>
      </c:catAx>
      <c:valAx>
        <c:axId val="7983296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25969439"/>
        <c:crosses val="autoZero"/>
        <c:crossBetween val="between"/>
      </c:valAx>
      <c:valAx>
        <c:axId val="17695072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0367695"/>
        <c:crosses val="max"/>
        <c:crossBetween val="between"/>
      </c:valAx>
      <c:catAx>
        <c:axId val="190367695"/>
        <c:scaling>
          <c:orientation val="minMax"/>
        </c:scaling>
        <c:delete val="1"/>
        <c:axPos val="b"/>
        <c:majorTickMark val="none"/>
        <c:minorTickMark val="none"/>
        <c:tickLblPos val="nextTo"/>
        <c:crossAx val="1769507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34E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A-ED4C-9A2F-6F2E18ED82E5}"/>
              </c:ext>
            </c:extLst>
          </c:dPt>
          <c:dPt>
            <c:idx val="1"/>
            <c:bubble3D val="0"/>
            <c:spPr>
              <a:solidFill>
                <a:srgbClr val="4FB9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8A-ED4C-9A2F-6F2E18ED82E5}"/>
              </c:ext>
            </c:extLst>
          </c:dPt>
          <c:dPt>
            <c:idx val="2"/>
            <c:bubble3D val="0"/>
            <c:spPr>
              <a:solidFill>
                <a:srgbClr val="F4702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A-ED4C-9A2F-6F2E18ED82E5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E8A-ED4C-9A2F-6F2E18ED82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'Exhibit '!$L$168:$L$171</c:f>
              <c:strCache>
                <c:ptCount val="4"/>
                <c:pt idx="0">
                  <c:v>Apple </c:v>
                </c:pt>
                <c:pt idx="1">
                  <c:v>Laptop </c:v>
                </c:pt>
                <c:pt idx="2">
                  <c:v>Household Appliances </c:v>
                </c:pt>
                <c:pt idx="3">
                  <c:v>Others </c:v>
                </c:pt>
              </c:strCache>
            </c:strRef>
          </c:cat>
          <c:val>
            <c:numRef>
              <c:f>'Exhibit '!$M$168:$M$171</c:f>
              <c:numCache>
                <c:formatCode>0%</c:formatCode>
                <c:ptCount val="4"/>
                <c:pt idx="0">
                  <c:v>0.5</c:v>
                </c:pt>
                <c:pt idx="1">
                  <c:v>0.3</c:v>
                </c:pt>
                <c:pt idx="2" formatCode="0.00%">
                  <c:v>2.5000000000000001E-2</c:v>
                </c:pt>
                <c:pt idx="3">
                  <c:v>0.17499999999999993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A-ED4C-9A2F-6F2E18ED82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'Exhibit '!$AX$137</c:f>
              <c:strCache>
                <c:ptCount val="1"/>
                <c:pt idx="0">
                  <c:v>FRT</c:v>
                </c:pt>
              </c:strCache>
            </c:strRef>
          </c:tx>
          <c:spPr>
            <a:solidFill>
              <a:srgbClr val="034EA2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'!$AY$137:$BC$137</c:f>
              <c:numCache>
                <c:formatCode>0.00</c:formatCode>
                <c:ptCount val="5"/>
                <c:pt idx="0">
                  <c:v>2.5995027267122546</c:v>
                </c:pt>
                <c:pt idx="1">
                  <c:v>2.9033214364784889</c:v>
                </c:pt>
                <c:pt idx="2">
                  <c:v>2.0481953917111442</c:v>
                </c:pt>
                <c:pt idx="3">
                  <c:v>3.6381764496380717</c:v>
                </c:pt>
                <c:pt idx="4">
                  <c:v>2.6706743397547394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A-0749-94B1-D5C89B456AA7}"/>
            </c:ext>
          </c:extLst>
        </c:ser>
        <c:ser>
          <c:idx val="1"/>
          <c:order val="1"/>
          <c:tx>
            <c:strRef>
              <c:f>'Exhibit '!$AX$138</c:f>
              <c:strCache>
                <c:ptCount val="1"/>
                <c:pt idx="0">
                  <c:v>MWG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'!$AY$138:$BC$138</c:f>
              <c:numCache>
                <c:formatCode>0.00</c:formatCode>
                <c:ptCount val="5"/>
                <c:pt idx="0">
                  <c:v>0.78</c:v>
                </c:pt>
                <c:pt idx="1">
                  <c:v>1.17</c:v>
                </c:pt>
                <c:pt idx="2">
                  <c:v>1.08</c:v>
                </c:pt>
                <c:pt idx="3">
                  <c:v>1.21</c:v>
                </c:pt>
                <c:pt idx="4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A-0749-94B1-D5C89B456AA7}"/>
            </c:ext>
          </c:extLst>
        </c:ser>
        <c:ser>
          <c:idx val="2"/>
          <c:order val="2"/>
          <c:tx>
            <c:strRef>
              <c:f>'Exhibit '!$AX$139</c:f>
              <c:strCache>
                <c:ptCount val="1"/>
                <c:pt idx="0">
                  <c:v>DGW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'!$AY$139:$BC$139</c:f>
              <c:numCache>
                <c:formatCode>0.00</c:formatCode>
                <c:ptCount val="5"/>
                <c:pt idx="0">
                  <c:v>1.0900000000000001</c:v>
                </c:pt>
                <c:pt idx="1">
                  <c:v>0.67</c:v>
                </c:pt>
                <c:pt idx="2">
                  <c:v>0.54</c:v>
                </c:pt>
                <c:pt idx="3">
                  <c:v>0.63</c:v>
                </c:pt>
                <c:pt idx="4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A-0749-94B1-D5C89B456AA7}"/>
            </c:ext>
          </c:extLst>
        </c:ser>
        <c:ser>
          <c:idx val="3"/>
          <c:order val="3"/>
          <c:tx>
            <c:strRef>
              <c:f>'Exhibit '!$AX$140</c:f>
              <c:strCache>
                <c:ptCount val="1"/>
                <c:pt idx="0">
                  <c:v>PET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'!$AY$140:$BC$140</c:f>
              <c:numCache>
                <c:formatCode>0.00</c:formatCode>
                <c:ptCount val="5"/>
                <c:pt idx="0">
                  <c:v>1.28</c:v>
                </c:pt>
                <c:pt idx="1">
                  <c:v>1.01</c:v>
                </c:pt>
                <c:pt idx="2">
                  <c:v>1.76</c:v>
                </c:pt>
                <c:pt idx="3">
                  <c:v>2.0099999999999998</c:v>
                </c:pt>
                <c:pt idx="4">
                  <c:v>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A-0749-94B1-D5C89B456AA7}"/>
            </c:ext>
          </c:extLst>
        </c:ser>
        <c:ser>
          <c:idx val="4"/>
          <c:order val="4"/>
          <c:tx>
            <c:strRef>
              <c:f>'Exhibit '!$AX$141</c:f>
              <c:strCache>
                <c:ptCount val="1"/>
                <c:pt idx="0">
                  <c:v>Peers Median</c:v>
                </c:pt>
              </c:strCache>
            </c:strRef>
          </c:tx>
          <c:spPr>
            <a:solidFill>
              <a:srgbClr val="4FB946"/>
            </a:solidFill>
            <a:ln>
              <a:noFill/>
            </a:ln>
            <a:effectLst/>
          </c:spPr>
          <c:invertIfNegative val="0"/>
          <c:cat>
            <c:numRef>
              <c:f>'Revenue breakdown'!$B$2:$F$2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'Exhibit '!$AY$141:$BC$141</c:f>
              <c:numCache>
                <c:formatCode>0.00</c:formatCode>
                <c:ptCount val="5"/>
                <c:pt idx="0">
                  <c:v>1.1850000000000001</c:v>
                </c:pt>
                <c:pt idx="1">
                  <c:v>1.0899999999999999</c:v>
                </c:pt>
                <c:pt idx="2">
                  <c:v>1.42</c:v>
                </c:pt>
                <c:pt idx="3">
                  <c:v>1.6099999999999999</c:v>
                </c:pt>
                <c:pt idx="4">
                  <c:v>1.3649999999999998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A-0749-94B1-D5C89B456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83327"/>
        <c:axId val="364764207"/>
      </c:barChart>
      <c:catAx>
        <c:axId val="7372833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4764207"/>
        <c:crosses val="autoZero"/>
        <c:auto val="1"/>
        <c:lblAlgn val="ctr"/>
        <c:lblOffset val="100"/>
        <c:noMultiLvlLbl val="0"/>
      </c:catAx>
      <c:valAx>
        <c:axId val="3647642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7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2023-</a:t>
            </a:r>
            <a:r>
              <a:rPr lang="en-US" b="1" baseline="0"/>
              <a:t> Planned Revenue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34EA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34-DF41-87D9-17E770F0E4AD}"/>
              </c:ext>
            </c:extLst>
          </c:dPt>
          <c:cat>
            <c:strRef>
              <c:f>'Exhibit '!$Z$43:$AA$43</c:f>
              <c:strCache>
                <c:ptCount val="2"/>
                <c:pt idx="0">
                  <c:v>2022</c:v>
                </c:pt>
                <c:pt idx="1">
                  <c:v>2023F</c:v>
                </c:pt>
              </c:strCache>
            </c:strRef>
          </c:cat>
          <c:val>
            <c:numRef>
              <c:f>'Exhibit '!$Z$44:$AA$44</c:f>
              <c:numCache>
                <c:formatCode>#,##0_);[Red]\(#,##0\)</c:formatCode>
                <c:ptCount val="2"/>
                <c:pt idx="0">
                  <c:v>30165801</c:v>
                </c:pt>
                <c:pt idx="1">
                  <c:v>34087355.129999995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4-DF41-87D9-17E770F0E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56192"/>
        <c:axId val="1834766671"/>
      </c:barChart>
      <c:catAx>
        <c:axId val="309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834766671"/>
        <c:crosses val="autoZero"/>
        <c:auto val="1"/>
        <c:lblAlgn val="ctr"/>
        <c:lblOffset val="100"/>
        <c:noMultiLvlLbl val="0"/>
      </c:catAx>
      <c:valAx>
        <c:axId val="1834766671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09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2023- Net profit before</a:t>
            </a:r>
            <a:r>
              <a:rPr lang="en-US" b="1" baseline="0"/>
              <a:t> tax planned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34E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0B-0946-8B9B-BC74A38E9DFE}"/>
              </c:ext>
            </c:extLst>
          </c:dPt>
          <c:dPt>
            <c:idx val="1"/>
            <c:invertIfNegative val="0"/>
            <c:bubble3D val="0"/>
            <c:spPr>
              <a:solidFill>
                <a:srgbClr val="4FB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0B-0946-8B9B-BC74A38E9DFE}"/>
              </c:ext>
            </c:extLst>
          </c:dPt>
          <c:cat>
            <c:strRef>
              <c:f>'Exhibit '!$Z$43:$AA$43</c:f>
              <c:strCache>
                <c:ptCount val="2"/>
                <c:pt idx="0">
                  <c:v>2022</c:v>
                </c:pt>
                <c:pt idx="1">
                  <c:v>2023F</c:v>
                </c:pt>
              </c:strCache>
            </c:strRef>
          </c:cat>
          <c:val>
            <c:numRef>
              <c:f>'Exhibit '!$Z$45:$AA$45</c:f>
              <c:numCache>
                <c:formatCode>General</c:formatCode>
                <c:ptCount val="2"/>
                <c:pt idx="0" formatCode="#,##0_);[Red]\(#,##0\)">
                  <c:v>485623</c:v>
                </c:pt>
                <c:pt idx="1">
                  <c:v>237955.27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B-0946-8B9B-BC74A38E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121855"/>
        <c:axId val="1506364031"/>
      </c:barChart>
      <c:catAx>
        <c:axId val="158012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6364031"/>
        <c:crosses val="autoZero"/>
        <c:auto val="1"/>
        <c:lblAlgn val="ctr"/>
        <c:lblOffset val="100"/>
        <c:noMultiLvlLbl val="0"/>
      </c:catAx>
      <c:valAx>
        <c:axId val="1506364031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8012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Capex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'Revenue breakdown'!$D$33:$N$33</c:f>
              <c:numCache>
                <c:formatCode>#,##0.0_);[Red]\(#,##0.0\)</c:formatCode>
                <c:ptCount val="11"/>
                <c:pt idx="0">
                  <c:v>70.056838365896994</c:v>
                </c:pt>
                <c:pt idx="1">
                  <c:v>3423.4311649016599</c:v>
                </c:pt>
                <c:pt idx="2">
                  <c:v>3423.4311649016599</c:v>
                </c:pt>
                <c:pt idx="3">
                  <c:v>2566.35849056604</c:v>
                </c:pt>
                <c:pt idx="4">
                  <c:v>1290.2922636103201</c:v>
                </c:pt>
                <c:pt idx="5">
                  <c:v>228039.900335946</c:v>
                </c:pt>
                <c:pt idx="6" formatCode="#,##0_);[Red]\(#,##0\)">
                  <c:v>53109.743096622202</c:v>
                </c:pt>
                <c:pt idx="7" formatCode="#,##0_);[Red]\(#,##0\)">
                  <c:v>25737.688844198401</c:v>
                </c:pt>
                <c:pt idx="8" formatCode="#,##0_);[Red]\(#,##0\)">
                  <c:v>30380.882732121099</c:v>
                </c:pt>
                <c:pt idx="9" formatCode="#,##0_);[Red]\(#,##0\)">
                  <c:v>22557.942176954501</c:v>
                </c:pt>
                <c:pt idx="10" formatCode="#,##0_);[Red]\(#,##0\)">
                  <c:v>55652.743108081697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D-8C4F-A8A1-493F1479138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'Revenue breakdown'!$D$34:$N$34</c:f>
              <c:numCache>
                <c:formatCode>#,##0.0_);[Red]\(#,##0.0\)</c:formatCode>
                <c:ptCount val="11"/>
                <c:pt idx="0">
                  <c:v>3.9431616341030198</c:v>
                </c:pt>
                <c:pt idx="1">
                  <c:v>392.56883509833602</c:v>
                </c:pt>
                <c:pt idx="2">
                  <c:v>392.56883509833602</c:v>
                </c:pt>
                <c:pt idx="3">
                  <c:v>862.64150943396203</c:v>
                </c:pt>
                <c:pt idx="4">
                  <c:v>797.70773638968501</c:v>
                </c:pt>
                <c:pt idx="5">
                  <c:v>290127.099664054</c:v>
                </c:pt>
                <c:pt idx="6" formatCode="#,##0_);[Red]\(#,##0\)">
                  <c:v>63293.358979579003</c:v>
                </c:pt>
                <c:pt idx="7" formatCode="#,##0_);[Red]\(#,##0\)">
                  <c:v>24774.278946435701</c:v>
                </c:pt>
                <c:pt idx="8" formatCode="#,##0_);[Red]\(#,##0\)">
                  <c:v>27784.3538384276</c:v>
                </c:pt>
                <c:pt idx="9" formatCode="#,##0_);[Red]\(#,##0\)">
                  <c:v>45804.732442104098</c:v>
                </c:pt>
                <c:pt idx="10" formatCode="#,##0_);[Red]\(#,##0\)">
                  <c:v>59791.427969105403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D-8C4F-A8A1-493F1479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3626895"/>
        <c:axId val="1927514096"/>
      </c:barChart>
      <c:catAx>
        <c:axId val="74362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7514096"/>
        <c:crosses val="autoZero"/>
        <c:auto val="1"/>
        <c:lblAlgn val="ctr"/>
        <c:lblOffset val="100"/>
        <c:noMultiLvlLbl val="0"/>
      </c:catAx>
      <c:valAx>
        <c:axId val="19275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4362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  <a:effectLst>
              <a:outerShdw sx="1000" sy="1000" algn="ctr" rotWithShape="0">
                <a:srgbClr val="000000"/>
              </a:outerShdw>
            </a:effectLst>
          </c:spPr>
          <c:marker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sx="1000" sy="1000" algn="ctr" rotWithShape="0">
                  <a:srgbClr val="000000"/>
                </a:outerShdw>
              </a:effectLst>
            </c:spPr>
          </c:marker>
          <c:dPt>
            <c:idx val="0"/>
            <c:marker>
              <c:spPr>
                <a:solidFill>
                  <a:schemeClr val="accent6">
                    <a:lumMod val="50000"/>
                  </a:schemeClr>
                </a:solidFill>
                <a:ln>
                  <a:noFill/>
                </a:ln>
                <a:effectLst>
                  <a:outerShdw sx="1000" sy="1000" algn="ctr" rotWithShape="0">
                    <a:srgbClr val="000000"/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934-2F44-A2B6-A0D6B2105B6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934-2F44-A2B6-A0D6B2105B6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C934-2F44-A2B6-A0D6B2105B6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C934-2F44-A2B6-A0D6B2105B6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C934-2F44-A2B6-A0D6B2105B6A}"/>
              </c:ext>
            </c:extLst>
          </c:dPt>
          <c:xVal>
            <c:numRef>
              <c:f>'Peer Valuation'!$I$4:$I$7</c:f>
              <c:numCache>
                <c:formatCode>0.00%</c:formatCode>
                <c:ptCount val="4"/>
                <c:pt idx="0" formatCode="0.0%">
                  <c:v>0.21299999999999999</c:v>
                </c:pt>
                <c:pt idx="1">
                  <c:v>0.1852</c:v>
                </c:pt>
                <c:pt idx="2">
                  <c:v>0.32769999999999999</c:v>
                </c:pt>
                <c:pt idx="3">
                  <c:v>5.7799999999999997E-2</c:v>
                </c:pt>
              </c:numCache>
            </c:numRef>
          </c:xVal>
          <c:yVal>
            <c:numRef>
              <c:f>'Peer Valuation'!$G$4:$G$7</c:f>
              <c:numCache>
                <c:formatCode>#,##0.00</c:formatCode>
                <c:ptCount val="4"/>
                <c:pt idx="0">
                  <c:v>20.78</c:v>
                </c:pt>
                <c:pt idx="1">
                  <c:v>15.78569057</c:v>
                </c:pt>
                <c:pt idx="2">
                  <c:v>8.8800516654674198</c:v>
                </c:pt>
                <c:pt idx="3">
                  <c:v>13.39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52-E348-8F40-C943C347B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867999"/>
        <c:axId val="1423305583"/>
      </c:scatterChart>
      <c:valAx>
        <c:axId val="97686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23305583"/>
        <c:crosses val="autoZero"/>
        <c:crossBetween val="midCat"/>
      </c:valAx>
      <c:valAx>
        <c:axId val="14233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97686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CAPM!$C$2:$C$67</c:f>
              <c:numCache>
                <c:formatCode>#,##0;\-#,##0;#,##0;"--"</c:formatCode>
                <c:ptCount val="66"/>
                <c:pt idx="0">
                  <c:v>44455.329742000002</c:v>
                </c:pt>
                <c:pt idx="1">
                  <c:v>42566.345737000003</c:v>
                </c:pt>
                <c:pt idx="2">
                  <c:v>38140.199166999999</c:v>
                </c:pt>
                <c:pt idx="3">
                  <c:v>35220.825897000002</c:v>
                </c:pt>
                <c:pt idx="4">
                  <c:v>35974.212548000003</c:v>
                </c:pt>
                <c:pt idx="5">
                  <c:v>35832.952551000002</c:v>
                </c:pt>
                <c:pt idx="6">
                  <c:v>34232.005919000003</c:v>
                </c:pt>
                <c:pt idx="7">
                  <c:v>34373.265915999997</c:v>
                </c:pt>
                <c:pt idx="8">
                  <c:v>33855.312594000003</c:v>
                </c:pt>
                <c:pt idx="9">
                  <c:v>32207.279296000001</c:v>
                </c:pt>
                <c:pt idx="10">
                  <c:v>28958.299367</c:v>
                </c:pt>
                <c:pt idx="11">
                  <c:v>23402.072821999998</c:v>
                </c:pt>
                <c:pt idx="12">
                  <c:v>24108.372807</c:v>
                </c:pt>
                <c:pt idx="13">
                  <c:v>23872.939479000001</c:v>
                </c:pt>
                <c:pt idx="14">
                  <c:v>30704.074768999999</c:v>
                </c:pt>
                <c:pt idx="15">
                  <c:v>26482.271109000001</c:v>
                </c:pt>
                <c:pt idx="16">
                  <c:v>24275.415183000001</c:v>
                </c:pt>
                <c:pt idx="17">
                  <c:v>24992.643359000002</c:v>
                </c:pt>
                <c:pt idx="18">
                  <c:v>22537.516142</c:v>
                </c:pt>
                <c:pt idx="19">
                  <c:v>14841.106100999999</c:v>
                </c:pt>
                <c:pt idx="20">
                  <c:v>11613.579309000001</c:v>
                </c:pt>
                <c:pt idx="21">
                  <c:v>9461.8947819999994</c:v>
                </c:pt>
                <c:pt idx="22">
                  <c:v>11613.579309000001</c:v>
                </c:pt>
                <c:pt idx="23">
                  <c:v>6151.610893</c:v>
                </c:pt>
                <c:pt idx="24">
                  <c:v>11723.922105</c:v>
                </c:pt>
                <c:pt idx="25">
                  <c:v>14454.906314</c:v>
                </c:pt>
                <c:pt idx="26">
                  <c:v>12137.707592000001</c:v>
                </c:pt>
                <c:pt idx="27">
                  <c:v>11254.965221</c:v>
                </c:pt>
                <c:pt idx="28">
                  <c:v>13691.943364999999</c:v>
                </c:pt>
                <c:pt idx="29">
                  <c:v>13807.001713</c:v>
                </c:pt>
                <c:pt idx="30">
                  <c:v>11994.832737999999</c:v>
                </c:pt>
                <c:pt idx="31">
                  <c:v>13663.178778</c:v>
                </c:pt>
                <c:pt idx="32">
                  <c:v>18409.335617000001</c:v>
                </c:pt>
                <c:pt idx="33">
                  <c:v>15072.643536</c:v>
                </c:pt>
                <c:pt idx="34">
                  <c:v>16108.168664999999</c:v>
                </c:pt>
                <c:pt idx="35">
                  <c:v>17517.633422999999</c:v>
                </c:pt>
                <c:pt idx="36">
                  <c:v>15532.876926999999</c:v>
                </c:pt>
                <c:pt idx="37">
                  <c:v>14324.764277</c:v>
                </c:pt>
                <c:pt idx="38">
                  <c:v>15590.4061</c:v>
                </c:pt>
                <c:pt idx="39">
                  <c:v>21544.675588999999</c:v>
                </c:pt>
                <c:pt idx="40">
                  <c:v>23702.019606999998</c:v>
                </c:pt>
                <c:pt idx="41">
                  <c:v>27355.122143000001</c:v>
                </c:pt>
                <c:pt idx="42">
                  <c:v>29972.699551000002</c:v>
                </c:pt>
                <c:pt idx="43">
                  <c:v>33366.920805000002</c:v>
                </c:pt>
                <c:pt idx="44">
                  <c:v>57644.232150000003</c:v>
                </c:pt>
                <c:pt idx="45">
                  <c:v>50453.085424999997</c:v>
                </c:pt>
                <c:pt idx="46">
                  <c:v>70358.179560999997</c:v>
                </c:pt>
                <c:pt idx="47">
                  <c:v>86351.289877999996</c:v>
                </c:pt>
                <c:pt idx="48">
                  <c:v>90033.157001</c:v>
                </c:pt>
                <c:pt idx="49">
                  <c:v>71278.646341</c:v>
                </c:pt>
                <c:pt idx="50">
                  <c:v>78699.870412000004</c:v>
                </c:pt>
                <c:pt idx="51">
                  <c:v>62131.476641000001</c:v>
                </c:pt>
                <c:pt idx="52">
                  <c:v>78527.282976999995</c:v>
                </c:pt>
                <c:pt idx="53">
                  <c:v>63253.294969000002</c:v>
                </c:pt>
                <c:pt idx="54">
                  <c:v>70588.260962</c:v>
                </c:pt>
                <c:pt idx="55">
                  <c:v>61268.539465000002</c:v>
                </c:pt>
                <c:pt idx="56">
                  <c:v>59542.665114000003</c:v>
                </c:pt>
                <c:pt idx="57">
                  <c:v>63684.763556999998</c:v>
                </c:pt>
                <c:pt idx="58">
                  <c:v>59542.665114000003</c:v>
                </c:pt>
                <c:pt idx="59">
                  <c:v>52639.167710000002</c:v>
                </c:pt>
                <c:pt idx="60">
                  <c:v>55055.391800999998</c:v>
                </c:pt>
                <c:pt idx="61">
                  <c:v>54969.098083999997</c:v>
                </c:pt>
                <c:pt idx="62">
                  <c:v>71600</c:v>
                </c:pt>
                <c:pt idx="63">
                  <c:v>76400</c:v>
                </c:pt>
                <c:pt idx="64">
                  <c:v>83500</c:v>
                </c:pt>
                <c:pt idx="65">
                  <c:v>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4-E443-A0B1-BF39438CD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14207"/>
        <c:axId val="1504775951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CAPM!$B$2:$B$67</c:f>
              <c:numCache>
                <c:formatCode>#,##0.00;\-#,##0.00;#,##0.00;"--"</c:formatCode>
                <c:ptCount val="66"/>
                <c:pt idx="0">
                  <c:v>1050.26</c:v>
                </c:pt>
                <c:pt idx="1">
                  <c:v>971.25</c:v>
                </c:pt>
                <c:pt idx="2">
                  <c:v>960.78</c:v>
                </c:pt>
                <c:pt idx="3">
                  <c:v>956.39</c:v>
                </c:pt>
                <c:pt idx="4">
                  <c:v>989.54</c:v>
                </c:pt>
                <c:pt idx="5">
                  <c:v>1017.13</c:v>
                </c:pt>
                <c:pt idx="6">
                  <c:v>914.76</c:v>
                </c:pt>
                <c:pt idx="7">
                  <c:v>926.54</c:v>
                </c:pt>
                <c:pt idx="8">
                  <c:v>892.54</c:v>
                </c:pt>
                <c:pt idx="9">
                  <c:v>910.65</c:v>
                </c:pt>
                <c:pt idx="10">
                  <c:v>965.47</c:v>
                </c:pt>
                <c:pt idx="11">
                  <c:v>980.76</c:v>
                </c:pt>
                <c:pt idx="12">
                  <c:v>979.64</c:v>
                </c:pt>
                <c:pt idx="13">
                  <c:v>959.88</c:v>
                </c:pt>
                <c:pt idx="14">
                  <c:v>949.94</c:v>
                </c:pt>
                <c:pt idx="15">
                  <c:v>991.66</c:v>
                </c:pt>
                <c:pt idx="16">
                  <c:v>984.06</c:v>
                </c:pt>
                <c:pt idx="17">
                  <c:v>996.56</c:v>
                </c:pt>
                <c:pt idx="18">
                  <c:v>998.82</c:v>
                </c:pt>
                <c:pt idx="19">
                  <c:v>970.75</c:v>
                </c:pt>
                <c:pt idx="20">
                  <c:v>960.99</c:v>
                </c:pt>
                <c:pt idx="21">
                  <c:v>936.62</c:v>
                </c:pt>
                <c:pt idx="22">
                  <c:v>882.19</c:v>
                </c:pt>
                <c:pt idx="23">
                  <c:v>662.53</c:v>
                </c:pt>
                <c:pt idx="24">
                  <c:v>769.11</c:v>
                </c:pt>
                <c:pt idx="25">
                  <c:v>864.47</c:v>
                </c:pt>
                <c:pt idx="26">
                  <c:v>825.11</c:v>
                </c:pt>
                <c:pt idx="27">
                  <c:v>798.39</c:v>
                </c:pt>
                <c:pt idx="28">
                  <c:v>881.65</c:v>
                </c:pt>
                <c:pt idx="29">
                  <c:v>905.21</c:v>
                </c:pt>
                <c:pt idx="30">
                  <c:v>925.47</c:v>
                </c:pt>
                <c:pt idx="31">
                  <c:v>1003.08</c:v>
                </c:pt>
                <c:pt idx="32">
                  <c:v>1103.8699999999999</c:v>
                </c:pt>
                <c:pt idx="33">
                  <c:v>1056.6099999999999</c:v>
                </c:pt>
                <c:pt idx="34">
                  <c:v>1168.47</c:v>
                </c:pt>
                <c:pt idx="35">
                  <c:v>1191.44</c:v>
                </c:pt>
                <c:pt idx="36">
                  <c:v>1239.3900000000001</c:v>
                </c:pt>
                <c:pt idx="37">
                  <c:v>1328.05</c:v>
                </c:pt>
                <c:pt idx="38">
                  <c:v>1408.55</c:v>
                </c:pt>
                <c:pt idx="39">
                  <c:v>1310.05</c:v>
                </c:pt>
                <c:pt idx="40">
                  <c:v>1331.47</c:v>
                </c:pt>
                <c:pt idx="41">
                  <c:v>1342.06</c:v>
                </c:pt>
                <c:pt idx="42">
                  <c:v>1444.27</c:v>
                </c:pt>
                <c:pt idx="43">
                  <c:v>1478.44</c:v>
                </c:pt>
                <c:pt idx="44">
                  <c:v>1498.28</c:v>
                </c:pt>
                <c:pt idx="45">
                  <c:v>1478.96</c:v>
                </c:pt>
                <c:pt idx="46">
                  <c:v>1490.13</c:v>
                </c:pt>
                <c:pt idx="47">
                  <c:v>1492.15</c:v>
                </c:pt>
                <c:pt idx="48">
                  <c:v>1366.8</c:v>
                </c:pt>
                <c:pt idx="49">
                  <c:v>1292.68</c:v>
                </c:pt>
                <c:pt idx="50">
                  <c:v>1197.5999999999999</c:v>
                </c:pt>
                <c:pt idx="51">
                  <c:v>1206.33</c:v>
                </c:pt>
                <c:pt idx="52">
                  <c:v>1280.51</c:v>
                </c:pt>
                <c:pt idx="53">
                  <c:v>1132.1099999999999</c:v>
                </c:pt>
                <c:pt idx="54">
                  <c:v>1027.94</c:v>
                </c:pt>
                <c:pt idx="55">
                  <c:v>1048.42</c:v>
                </c:pt>
                <c:pt idx="56">
                  <c:v>1007.09</c:v>
                </c:pt>
                <c:pt idx="57">
                  <c:v>1111.18</c:v>
                </c:pt>
                <c:pt idx="58">
                  <c:v>1024.68</c:v>
                </c:pt>
                <c:pt idx="59">
                  <c:v>1064.6400000000001</c:v>
                </c:pt>
                <c:pt idx="60">
                  <c:v>1049.1199999999999</c:v>
                </c:pt>
                <c:pt idx="61">
                  <c:v>1075.17</c:v>
                </c:pt>
                <c:pt idx="62">
                  <c:v>1120.18</c:v>
                </c:pt>
                <c:pt idx="63">
                  <c:v>1222.9000000000001</c:v>
                </c:pt>
                <c:pt idx="64">
                  <c:v>1224.05</c:v>
                </c:pt>
                <c:pt idx="65">
                  <c:v>1154.1500000000001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4-E443-A0B1-BF39438CD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59679"/>
        <c:axId val="1156875711"/>
      </c:lineChart>
      <c:catAx>
        <c:axId val="112014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04775951"/>
        <c:crosses val="autoZero"/>
        <c:auto val="1"/>
        <c:lblAlgn val="ctr"/>
        <c:lblOffset val="100"/>
        <c:noMultiLvlLbl val="0"/>
      </c:catAx>
      <c:valAx>
        <c:axId val="15047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#,##0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014207"/>
        <c:crosses val="autoZero"/>
        <c:crossBetween val="between"/>
      </c:valAx>
      <c:valAx>
        <c:axId val="1156875711"/>
        <c:scaling>
          <c:orientation val="minMax"/>
        </c:scaling>
        <c:delete val="0"/>
        <c:axPos val="r"/>
        <c:numFmt formatCode="#,##0.00;\-#,##0.00;#,##0.00;&quot;-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56859679"/>
        <c:crosses val="max"/>
        <c:crossBetween val="between"/>
      </c:valAx>
      <c:catAx>
        <c:axId val="1156859679"/>
        <c:scaling>
          <c:orientation val="minMax"/>
        </c:scaling>
        <c:delete val="1"/>
        <c:axPos val="b"/>
        <c:majorTickMark val="out"/>
        <c:minorTickMark val="none"/>
        <c:tickLblPos val="nextTo"/>
        <c:crossAx val="1156875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'Peers '!$I$61:$M$61</c:f>
              <c:numCache>
                <c:formatCode>General</c:formatCode>
                <c:ptCount val="5"/>
                <c:pt idx="0">
                  <c:v>6.3</c:v>
                </c:pt>
                <c:pt idx="1">
                  <c:v>4.9000000000000004</c:v>
                </c:pt>
                <c:pt idx="2">
                  <c:v>4.8</c:v>
                </c:pt>
                <c:pt idx="3">
                  <c:v>5.7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C-B543-819C-06EAC325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6143712"/>
        <c:axId val="73466340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'Peers '!$I$62:$M$62</c:f>
              <c:numCache>
                <c:formatCode>#,##0_);[Red]\(#,##0\)</c:formatCode>
                <c:ptCount val="5"/>
                <c:pt idx="0">
                  <c:v>1583114</c:v>
                </c:pt>
                <c:pt idx="1">
                  <c:v>1768320</c:v>
                </c:pt>
                <c:pt idx="2">
                  <c:v>1935903</c:v>
                </c:pt>
                <c:pt idx="3">
                  <c:v>2656653</c:v>
                </c:pt>
                <c:pt idx="4">
                  <c:v>4146636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C-B543-819C-06EAC325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05887"/>
        <c:axId val="40009823"/>
      </c:lineChart>
      <c:catAx>
        <c:axId val="1696143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4663407"/>
        <c:crosses val="autoZero"/>
        <c:auto val="1"/>
        <c:lblAlgn val="ctr"/>
        <c:lblOffset val="100"/>
        <c:noMultiLvlLbl val="0"/>
      </c:catAx>
      <c:valAx>
        <c:axId val="7346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96143712"/>
        <c:crosses val="autoZero"/>
        <c:crossBetween val="between"/>
      </c:valAx>
      <c:valAx>
        <c:axId val="40009823"/>
        <c:scaling>
          <c:orientation val="minMax"/>
        </c:scaling>
        <c:delete val="0"/>
        <c:axPos val="r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0605887"/>
        <c:crosses val="max"/>
        <c:crossBetween val="between"/>
      </c:valAx>
      <c:catAx>
        <c:axId val="40605887"/>
        <c:scaling>
          <c:orientation val="minMax"/>
        </c:scaling>
        <c:delete val="1"/>
        <c:axPos val="b"/>
        <c:majorTickMark val="none"/>
        <c:minorTickMark val="none"/>
        <c:tickLblPos val="nextTo"/>
        <c:crossAx val="40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'Peers '!$W$28:$AA$28</c:f>
              <c:numCache>
                <c:formatCode>0.00%</c:formatCode>
                <c:ptCount val="5"/>
                <c:pt idx="0">
                  <c:v>0.16367988018117349</c:v>
                </c:pt>
                <c:pt idx="1">
                  <c:v>8.7305252499700128E-2</c:v>
                </c:pt>
                <c:pt idx="2">
                  <c:v>-0.11858529177658236</c:v>
                </c:pt>
                <c:pt idx="3">
                  <c:v>0.53429651445013804</c:v>
                </c:pt>
                <c:pt idx="4">
                  <c:v>0.34100259164708041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3-784F-B349-1B86D8D7AD70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'Peers '!$W$29:$AA$29</c:f>
              <c:numCache>
                <c:formatCode>0.00%</c:formatCode>
                <c:ptCount val="5"/>
                <c:pt idx="0">
                  <c:v>0.3041302381670184</c:v>
                </c:pt>
                <c:pt idx="1">
                  <c:v>0.18098386425632254</c:v>
                </c:pt>
                <c:pt idx="2">
                  <c:v>6.2364202243232129E-2</c:v>
                </c:pt>
                <c:pt idx="3">
                  <c:v>0.13277320214471275</c:v>
                </c:pt>
                <c:pt idx="4">
                  <c:v>8.4963971437401406E-2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3-784F-B349-1B86D8D7AD70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'Peers '!$W$30:$AA$30</c:f>
              <c:numCache>
                <c:formatCode>0.00%</c:formatCode>
                <c:ptCount val="5"/>
                <c:pt idx="0">
                  <c:v>3.6344950014014867E-2</c:v>
                </c:pt>
                <c:pt idx="1">
                  <c:v>-9.7728092318788443E-2</c:v>
                </c:pt>
                <c:pt idx="2">
                  <c:v>0.34422462030375706</c:v>
                </c:pt>
                <c:pt idx="3">
                  <c:v>0.30810971530513637</c:v>
                </c:pt>
                <c:pt idx="4">
                  <c:v>-3.125355153994756E-3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3-784F-B349-1B86D8D7AD70}"/>
            </c:ext>
          </c:extLst>
        </c:ser>
        <c:ser>
          <c:idx val="3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'Peers '!$W$31:$AA$31</c:f>
              <c:numCache>
                <c:formatCode>0.00%</c:formatCode>
                <c:ptCount val="5"/>
                <c:pt idx="0">
                  <c:v>0.55378173253075114</c:v>
                </c:pt>
                <c:pt idx="1">
                  <c:v>0.42967828869799546</c:v>
                </c:pt>
                <c:pt idx="2">
                  <c:v>0.47690857681432614</c:v>
                </c:pt>
                <c:pt idx="3">
                  <c:v>0.66903318442884485</c:v>
                </c:pt>
                <c:pt idx="4">
                  <c:v>5.2812694164316804E-2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23-784F-B349-1B86D8D7A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817824"/>
        <c:axId val="1687654208"/>
      </c:barChart>
      <c:catAx>
        <c:axId val="1687817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87654208"/>
        <c:crosses val="autoZero"/>
        <c:auto val="1"/>
        <c:lblAlgn val="ctr"/>
        <c:lblOffset val="100"/>
        <c:noMultiLvlLbl val="0"/>
      </c:catAx>
      <c:valAx>
        <c:axId val="16876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8781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'Peers '!$D$65:$H$65</c:f>
              <c:numCache>
                <c:formatCode>0.00%</c:formatCode>
                <c:ptCount val="5"/>
                <c:pt idx="0">
                  <c:v>0.16259952564243854</c:v>
                </c:pt>
                <c:pt idx="1">
                  <c:v>9.8391223792669305E-2</c:v>
                </c:pt>
                <c:pt idx="2">
                  <c:v>-0.10476282913589685</c:v>
                </c:pt>
                <c:pt idx="3">
                  <c:v>0.49850612046154125</c:v>
                </c:pt>
                <c:pt idx="4">
                  <c:v>0.35277914940639488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0-134F-B904-FCECE763C8D9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'Peers '!$D$66:$H$66</c:f>
              <c:numCache>
                <c:formatCode>0.0%;[Red]\(0.0%\)</c:formatCode>
                <c:ptCount val="5"/>
                <c:pt idx="0">
                  <c:v>0.13358381810831049</c:v>
                </c:pt>
                <c:pt idx="1">
                  <c:v>0.12691247303708797</c:v>
                </c:pt>
                <c:pt idx="2">
                  <c:v>0.13920905462275576</c:v>
                </c:pt>
                <c:pt idx="3">
                  <c:v>0.14009862030878828</c:v>
                </c:pt>
                <c:pt idx="4">
                  <c:v>0.15591092707931078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0-134F-B904-FCECE763C8D9}"/>
            </c:ext>
          </c:extLst>
        </c:ser>
        <c:ser>
          <c:idx val="2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'Peers '!$D$67:$H$67</c:f>
              <c:numCache>
                <c:formatCode>0.0%;[Red]\(0.0%\)</c:formatCode>
                <c:ptCount val="5"/>
                <c:pt idx="0">
                  <c:v>2.6328878273354585E-2</c:v>
                </c:pt>
                <c:pt idx="1">
                  <c:v>1.6401566433970022E-2</c:v>
                </c:pt>
                <c:pt idx="2">
                  <c:v>9.7664502687564228E-4</c:v>
                </c:pt>
                <c:pt idx="3">
                  <c:v>2.4280815601325115E-2</c:v>
                </c:pt>
                <c:pt idx="4">
                  <c:v>1.571209728526685E-2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0-134F-B904-FCECE763C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877888"/>
        <c:axId val="1923085312"/>
      </c:barChart>
      <c:catAx>
        <c:axId val="192287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3085312"/>
        <c:crosses val="autoZero"/>
        <c:auto val="1"/>
        <c:lblAlgn val="ctr"/>
        <c:lblOffset val="100"/>
        <c:noMultiLvlLbl val="0"/>
      </c:catAx>
      <c:valAx>
        <c:axId val="19230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9228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</a:t>
            </a:r>
            <a:r>
              <a:rPr lang="en-US" baseline="0"/>
              <a:t> Turnover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'Peers '!$H$11:$M$11</c:f>
              <c:strCache>
                <c:ptCount val="6"/>
                <c:pt idx="0">
                  <c:v>DGW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'!$I$14:$M$14</c:f>
              <c:numCache>
                <c:formatCode>0.0</c:formatCode>
                <c:ptCount val="5"/>
                <c:pt idx="0">
                  <c:v>5.0999999999999996</c:v>
                </c:pt>
                <c:pt idx="1">
                  <c:v>5.7</c:v>
                </c:pt>
                <c:pt idx="2">
                  <c:v>10.3</c:v>
                </c:pt>
                <c:pt idx="3">
                  <c:v>10.5</c:v>
                </c:pt>
                <c:pt idx="4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2-7947-95ED-F5A69E324629}"/>
            </c:ext>
          </c:extLst>
        </c:ser>
        <c:ser>
          <c:idx val="1"/>
          <c:order val="1"/>
          <c:tx>
            <c:strRef>
              <c:f>'Peers '!$H$16:$M$16</c:f>
              <c:strCache>
                <c:ptCount val="6"/>
                <c:pt idx="0">
                  <c:v>MWG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'!$I$19:$M$19</c:f>
              <c:numCache>
                <c:formatCode>#,##0.0_);[Red]\(#,##0.0\)</c:formatCode>
                <c:ptCount val="5"/>
                <c:pt idx="0">
                  <c:v>4.8</c:v>
                </c:pt>
                <c:pt idx="1">
                  <c:v>3.8</c:v>
                </c:pt>
                <c:pt idx="2">
                  <c:v>3.7</c:v>
                </c:pt>
                <c:pt idx="3">
                  <c:v>3.9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2-7947-95ED-F5A69E324629}"/>
            </c:ext>
          </c:extLst>
        </c:ser>
        <c:ser>
          <c:idx val="2"/>
          <c:order val="2"/>
          <c:tx>
            <c:strRef>
              <c:f>'Peers '!$H$21:$M$21</c:f>
              <c:strCache>
                <c:ptCount val="6"/>
                <c:pt idx="0">
                  <c:v>PET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'!$I$24:$M$24</c:f>
              <c:numCache>
                <c:formatCode>0.0</c:formatCode>
                <c:ptCount val="5"/>
                <c:pt idx="0">
                  <c:v>11.7</c:v>
                </c:pt>
                <c:pt idx="1">
                  <c:v>8.8000000000000007</c:v>
                </c:pt>
                <c:pt idx="2">
                  <c:v>13.4</c:v>
                </c:pt>
                <c:pt idx="3">
                  <c:v>14.9</c:v>
                </c:pt>
                <c:pt idx="4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2-7947-95ED-F5A69E324629}"/>
            </c:ext>
          </c:extLst>
        </c:ser>
        <c:ser>
          <c:idx val="3"/>
          <c:order val="3"/>
          <c:tx>
            <c:strRef>
              <c:f>'Peers '!$H$26:$M$26</c:f>
              <c:strCache>
                <c:ptCount val="6"/>
                <c:pt idx="0">
                  <c:v>FRT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'!$I$29:$M$29</c:f>
              <c:numCache>
                <c:formatCode>#,##0.0_);[Red]\(#,##0.0\)</c:formatCode>
                <c:ptCount val="5"/>
                <c:pt idx="0">
                  <c:v>6.3</c:v>
                </c:pt>
                <c:pt idx="1">
                  <c:v>4.9000000000000004</c:v>
                </c:pt>
                <c:pt idx="2">
                  <c:v>4.8</c:v>
                </c:pt>
                <c:pt idx="3">
                  <c:v>5.7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F2-7947-95ED-F5A69E324629}"/>
            </c:ext>
          </c:extLst>
        </c:ser>
        <c:ser>
          <c:idx val="4"/>
          <c:order val="4"/>
          <c:tx>
            <c:strRef>
              <c:f>'Peers '!$H$31:$M$31</c:f>
              <c:strCache>
                <c:ptCount val="6"/>
                <c:pt idx="0">
                  <c:v>Peer Median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'Peers '!$I$10:$M$10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 formatCode="0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'Peers '!$I$34:$M$34</c:f>
              <c:numCache>
                <c:formatCode>#,##0.0_);[Red]\(#,##0.0\)</c:formatCode>
                <c:ptCount val="5"/>
                <c:pt idx="0">
                  <c:v>5.6999999999999993</c:v>
                </c:pt>
                <c:pt idx="1">
                  <c:v>5.3000000000000007</c:v>
                </c:pt>
                <c:pt idx="2">
                  <c:v>7.5500000000000007</c:v>
                </c:pt>
                <c:pt idx="3">
                  <c:v>8.1</c:v>
                </c:pt>
                <c:pt idx="4">
                  <c:v>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F2-7947-95ED-F5A69E32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029231"/>
        <c:axId val="242802015"/>
      </c:barChart>
      <c:catAx>
        <c:axId val="24302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42802015"/>
        <c:crosses val="autoZero"/>
        <c:auto val="1"/>
        <c:lblAlgn val="ctr"/>
        <c:lblOffset val="100"/>
        <c:noMultiLvlLbl val="0"/>
      </c:catAx>
      <c:valAx>
        <c:axId val="24280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24302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25400</xdr:rowOff>
    </xdr:from>
    <xdr:to>
      <xdr:col>5</xdr:col>
      <xdr:colOff>0</xdr:colOff>
      <xdr:row>9</xdr:row>
      <xdr:rowOff>12700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688BC1-A745-2662-A144-C74FD66AF04F}"/>
            </a:ext>
          </a:extLst>
        </xdr:cNvPr>
        <xdr:cNvCxnSpPr/>
      </xdr:nvCxnSpPr>
      <xdr:spPr>
        <a:xfrm>
          <a:off x="4495800" y="482600"/>
          <a:ext cx="0" cy="1320800"/>
        </a:xfrm>
        <a:prstGeom prst="line">
          <a:avLst/>
        </a:prstGeom>
        <a:ln w="28575">
          <a:solidFill>
            <a:srgbClr val="F4702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5</xdr:col>
      <xdr:colOff>508000</xdr:colOff>
      <xdr:row>38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8AE64E-B637-F64C-B409-95413014B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5</xdr:col>
      <xdr:colOff>25400</xdr:colOff>
      <xdr:row>65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03D5CF-F667-4941-BCE1-A68622B49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781050</xdr:colOff>
      <xdr:row>70</xdr:row>
      <xdr:rowOff>171450</xdr:rowOff>
    </xdr:from>
    <xdr:to>
      <xdr:col>4</xdr:col>
      <xdr:colOff>806450</xdr:colOff>
      <xdr:row>85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109F83-9D77-3623-5C5E-0015BBA01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834029</xdr:colOff>
      <xdr:row>89</xdr:row>
      <xdr:rowOff>189551</xdr:rowOff>
    </xdr:from>
    <xdr:to>
      <xdr:col>5</xdr:col>
      <xdr:colOff>284327</xdr:colOff>
      <xdr:row>108</xdr:row>
      <xdr:rowOff>132685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77B9FA-D93A-9C43-BB71-BBDB5B31F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111</xdr:row>
      <xdr:rowOff>186764</xdr:rowOff>
    </xdr:from>
    <xdr:to>
      <xdr:col>5</xdr:col>
      <xdr:colOff>317500</xdr:colOff>
      <xdr:row>129</xdr:row>
      <xdr:rowOff>112058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7E9B48-83C8-5D4F-9236-7E80DC6B7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484733</xdr:colOff>
      <xdr:row>111</xdr:row>
      <xdr:rowOff>168312</xdr:rowOff>
    </xdr:from>
    <xdr:to>
      <xdr:col>11</xdr:col>
      <xdr:colOff>596747</xdr:colOff>
      <xdr:row>129</xdr:row>
      <xdr:rowOff>135724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FF9FCB1-52F6-1543-A78E-ED017E67E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776110</xdr:colOff>
      <xdr:row>142</xdr:row>
      <xdr:rowOff>46566</xdr:rowOff>
    </xdr:from>
    <xdr:to>
      <xdr:col>5</xdr:col>
      <xdr:colOff>366887</xdr:colOff>
      <xdr:row>159</xdr:row>
      <xdr:rowOff>70555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0801A8-D2D6-C55A-5C33-84AF538FE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725715</xdr:colOff>
      <xdr:row>142</xdr:row>
      <xdr:rowOff>161270</xdr:rowOff>
    </xdr:from>
    <xdr:to>
      <xdr:col>12</xdr:col>
      <xdr:colOff>739825</xdr:colOff>
      <xdr:row>160</xdr:row>
      <xdr:rowOff>3830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0FE901-3CEF-2A4F-8D68-C2C0A43E6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798872</xdr:colOff>
      <xdr:row>142</xdr:row>
      <xdr:rowOff>143388</xdr:rowOff>
    </xdr:from>
    <xdr:to>
      <xdr:col>19</xdr:col>
      <xdr:colOff>812982</xdr:colOff>
      <xdr:row>159</xdr:row>
      <xdr:rowOff>170303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0B890E-21AC-4D43-9EF9-7AD4F260E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533400</xdr:colOff>
      <xdr:row>165</xdr:row>
      <xdr:rowOff>50800</xdr:rowOff>
    </xdr:from>
    <xdr:to>
      <xdr:col>5</xdr:col>
      <xdr:colOff>713317</xdr:colOff>
      <xdr:row>182</xdr:row>
      <xdr:rowOff>44450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EB684-AEAD-1042-8583-4DA52C1EB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738372</xdr:colOff>
      <xdr:row>143</xdr:row>
      <xdr:rowOff>88604</xdr:rowOff>
    </xdr:from>
    <xdr:to>
      <xdr:col>27</xdr:col>
      <xdr:colOff>752482</xdr:colOff>
      <xdr:row>160</xdr:row>
      <xdr:rowOff>115520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7EFD82-E32D-6C41-931B-A93363653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669635</xdr:colOff>
      <xdr:row>143</xdr:row>
      <xdr:rowOff>184726</xdr:rowOff>
    </xdr:from>
    <xdr:to>
      <xdr:col>34</xdr:col>
      <xdr:colOff>683746</xdr:colOff>
      <xdr:row>161</xdr:row>
      <xdr:rowOff>26914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771AB28-91E9-9948-B5C8-60C65098E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682091</xdr:colOff>
      <xdr:row>188</xdr:row>
      <xdr:rowOff>19692</xdr:rowOff>
    </xdr:from>
    <xdr:to>
      <xdr:col>4</xdr:col>
      <xdr:colOff>702069</xdr:colOff>
      <xdr:row>202</xdr:row>
      <xdr:rowOff>165814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F7E8325-5092-2CD2-2A01-499D0EBB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699214</xdr:colOff>
      <xdr:row>194</xdr:row>
      <xdr:rowOff>85618</xdr:rowOff>
    </xdr:from>
    <xdr:to>
      <xdr:col>4</xdr:col>
      <xdr:colOff>342473</xdr:colOff>
      <xdr:row>195</xdr:row>
      <xdr:rowOff>156966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9A5E62B-C7C4-AE76-6C6E-0F45DF87E5D0}"/>
            </a:ext>
          </a:extLst>
        </xdr:cNvPr>
        <xdr:cNvSpPr txBox="1"/>
      </xdr:nvSpPr>
      <xdr:spPr>
        <a:xfrm>
          <a:off x="4423596" y="38214157"/>
          <a:ext cx="470899" cy="256854"/>
        </a:xfrm>
        <a:prstGeom prst="rect">
          <a:avLst/>
        </a:prstGeom>
        <a:solidFill>
          <a:srgbClr val="F4702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5,7%</a:t>
          </a:r>
        </a:p>
      </xdr:txBody>
    </xdr:sp>
    <xdr:clientData/>
  </xdr:twoCellAnchor>
  <xdr:twoCellAnchor>
    <xdr:from>
      <xdr:col>0</xdr:col>
      <xdr:colOff>660684</xdr:colOff>
      <xdr:row>209</xdr:row>
      <xdr:rowOff>133848</xdr:rowOff>
    </xdr:from>
    <xdr:to>
      <xdr:col>5</xdr:col>
      <xdr:colOff>114156</xdr:colOff>
      <xdr:row>227</xdr:row>
      <xdr:rowOff>42808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F41F117-1784-CAB6-52CA-E594E1B3A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241300</xdr:colOff>
      <xdr:row>233</xdr:row>
      <xdr:rowOff>158750</xdr:rowOff>
    </xdr:from>
    <xdr:to>
      <xdr:col>5</xdr:col>
      <xdr:colOff>266700</xdr:colOff>
      <xdr:row>248</xdr:row>
      <xdr:rowOff>44450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1EA45E8-688B-5CEE-CC32-C83DE462C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266700</xdr:colOff>
      <xdr:row>234</xdr:row>
      <xdr:rowOff>63500</xdr:rowOff>
    </xdr:from>
    <xdr:to>
      <xdr:col>4</xdr:col>
      <xdr:colOff>749300</xdr:colOff>
      <xdr:row>235</xdr:row>
      <xdr:rowOff>139700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B5BC653-5814-46C9-07D5-F5634DBA74DC}"/>
            </a:ext>
          </a:extLst>
        </xdr:cNvPr>
        <xdr:cNvSpPr txBox="1"/>
      </xdr:nvSpPr>
      <xdr:spPr>
        <a:xfrm>
          <a:off x="3987800" y="46786800"/>
          <a:ext cx="1308100" cy="266700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Average</a:t>
          </a:r>
          <a:r>
            <a:rPr lang="en-US" sz="1100" b="1" baseline="0">
              <a:solidFill>
                <a:schemeClr val="bg1"/>
              </a:solidFill>
            </a:rPr>
            <a:t> YoY: 7,3%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290812</xdr:colOff>
      <xdr:row>262</xdr:row>
      <xdr:rowOff>45646</xdr:rowOff>
    </xdr:from>
    <xdr:to>
      <xdr:col>5</xdr:col>
      <xdr:colOff>298174</xdr:colOff>
      <xdr:row>277</xdr:row>
      <xdr:rowOff>27976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B6BBB6C-5835-169D-D873-918FA16C0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696814</xdr:colOff>
      <xdr:row>262</xdr:row>
      <xdr:rowOff>134868</xdr:rowOff>
    </xdr:from>
    <xdr:to>
      <xdr:col>2</xdr:col>
      <xdr:colOff>460797</xdr:colOff>
      <xdr:row>263</xdr:row>
      <xdr:rowOff>168586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E60CDF6-05B1-D545-BA8C-690473B5B5F5}"/>
            </a:ext>
          </a:extLst>
        </xdr:cNvPr>
        <xdr:cNvSpPr txBox="1"/>
      </xdr:nvSpPr>
      <xdr:spPr>
        <a:xfrm>
          <a:off x="1517256" y="52317257"/>
          <a:ext cx="1449824" cy="224780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90% customers switch</a:t>
          </a:r>
          <a:r>
            <a:rPr lang="en-US" sz="800" b="1" baseline="0">
              <a:solidFill>
                <a:schemeClr val="bg1"/>
              </a:solidFill>
            </a:rPr>
            <a:t> stores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186267</xdr:colOff>
      <xdr:row>296</xdr:row>
      <xdr:rowOff>67733</xdr:rowOff>
    </xdr:from>
    <xdr:to>
      <xdr:col>3</xdr:col>
      <xdr:colOff>1032934</xdr:colOff>
      <xdr:row>311</xdr:row>
      <xdr:rowOff>16933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B56C087-5D3F-7297-5982-A139E0417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235622</xdr:colOff>
      <xdr:row>308</xdr:row>
      <xdr:rowOff>95637</xdr:rowOff>
    </xdr:from>
    <xdr:to>
      <xdr:col>2</xdr:col>
      <xdr:colOff>1422795</xdr:colOff>
      <xdr:row>309</xdr:row>
      <xdr:rowOff>114044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58C64C8-EE2C-FA40-8BEE-346162D238A1}"/>
            </a:ext>
          </a:extLst>
        </xdr:cNvPr>
        <xdr:cNvSpPr txBox="1"/>
      </xdr:nvSpPr>
      <xdr:spPr>
        <a:xfrm>
          <a:off x="2628211" y="62019476"/>
          <a:ext cx="1187173" cy="211175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bg1"/>
              </a:solidFill>
            </a:rPr>
            <a:t>1,016</a:t>
          </a:r>
          <a:r>
            <a:rPr lang="en-US" sz="800" b="1" baseline="0">
              <a:solidFill>
                <a:schemeClr val="bg1"/>
              </a:solidFill>
            </a:rPr>
            <a:t> stores/ Mar 2023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423333</xdr:colOff>
      <xdr:row>285</xdr:row>
      <xdr:rowOff>0</xdr:rowOff>
    </xdr:from>
    <xdr:to>
      <xdr:col>10</xdr:col>
      <xdr:colOff>626533</xdr:colOff>
      <xdr:row>303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92287FD-B0A4-93D5-5436-D63B3A5E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703102</xdr:colOff>
      <xdr:row>287</xdr:row>
      <xdr:rowOff>152031</xdr:rowOff>
    </xdr:from>
    <xdr:to>
      <xdr:col>10</xdr:col>
      <xdr:colOff>423334</xdr:colOff>
      <xdr:row>289</xdr:row>
      <xdr:rowOff>84667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793D15-8E39-4F4F-BFD8-FC6573413B83}"/>
            </a:ext>
          </a:extLst>
        </xdr:cNvPr>
        <xdr:cNvSpPr txBox="1"/>
      </xdr:nvSpPr>
      <xdr:spPr>
        <a:xfrm>
          <a:off x="9372969" y="56269098"/>
          <a:ext cx="1379698" cy="305169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chemeClr val="bg1"/>
              </a:solidFill>
            </a:rPr>
            <a:t>38%</a:t>
          </a:r>
          <a:r>
            <a:rPr lang="en-US" sz="1050" b="1" baseline="0">
              <a:solidFill>
                <a:schemeClr val="bg1"/>
              </a:solidFill>
            </a:rPr>
            <a:t> market share</a:t>
          </a:r>
          <a:endParaRPr lang="en-US" sz="105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22678</xdr:colOff>
      <xdr:row>323</xdr:row>
      <xdr:rowOff>11339</xdr:rowOff>
    </xdr:from>
    <xdr:to>
      <xdr:col>4</xdr:col>
      <xdr:colOff>546553</xdr:colOff>
      <xdr:row>337</xdr:row>
      <xdr:rowOff>55789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3BCA9C3-73B8-E844-B92F-A80A0580F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1122589</xdr:colOff>
      <xdr:row>324</xdr:row>
      <xdr:rowOff>57727</xdr:rowOff>
    </xdr:from>
    <xdr:to>
      <xdr:col>3</xdr:col>
      <xdr:colOff>907143</xdr:colOff>
      <xdr:row>328</xdr:row>
      <xdr:rowOff>148442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A498D5D-A6C3-3D35-CC89-EED7ED6C33EF}"/>
            </a:ext>
          </a:extLst>
        </xdr:cNvPr>
        <xdr:cNvCxnSpPr/>
      </xdr:nvCxnSpPr>
      <xdr:spPr>
        <a:xfrm flipV="1">
          <a:off x="1945203" y="64524659"/>
          <a:ext cx="2468872" cy="841169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2675178</xdr:colOff>
      <xdr:row>323</xdr:row>
      <xdr:rowOff>122385</xdr:rowOff>
    </xdr:from>
    <xdr:to>
      <xdr:col>2</xdr:col>
      <xdr:colOff>930756</xdr:colOff>
      <xdr:row>325</xdr:row>
      <xdr:rowOff>50225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55F550F-9A76-5A49-A8C0-B82564061CE6}"/>
            </a:ext>
          </a:extLst>
        </xdr:cNvPr>
        <xdr:cNvSpPr txBox="1"/>
      </xdr:nvSpPr>
      <xdr:spPr>
        <a:xfrm rot="20525877">
          <a:off x="3504911" y="64028785"/>
          <a:ext cx="1455978" cy="300373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bg1"/>
              </a:solidFill>
            </a:rPr>
            <a:t>19.33% CAGR </a:t>
          </a:r>
        </a:p>
      </xdr:txBody>
    </xdr:sp>
    <xdr:clientData/>
  </xdr:twoCellAnchor>
  <xdr:twoCellAnchor>
    <xdr:from>
      <xdr:col>0</xdr:col>
      <xdr:colOff>553590</xdr:colOff>
      <xdr:row>347</xdr:row>
      <xdr:rowOff>21710</xdr:rowOff>
    </xdr:from>
    <xdr:to>
      <xdr:col>4</xdr:col>
      <xdr:colOff>382086</xdr:colOff>
      <xdr:row>361</xdr:row>
      <xdr:rowOff>29525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24ED500-50CE-4146-860A-6BAAB9C03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1194018</xdr:colOff>
      <xdr:row>348</xdr:row>
      <xdr:rowOff>54273</xdr:rowOff>
    </xdr:from>
    <xdr:to>
      <xdr:col>3</xdr:col>
      <xdr:colOff>379915</xdr:colOff>
      <xdr:row>349</xdr:row>
      <xdr:rowOff>173675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D51AF73-D572-7F04-378A-56D8BEABE308}"/>
            </a:ext>
          </a:extLst>
        </xdr:cNvPr>
        <xdr:cNvSpPr/>
      </xdr:nvSpPr>
      <xdr:spPr>
        <a:xfrm>
          <a:off x="3364958" y="71608461"/>
          <a:ext cx="531880" cy="314787"/>
        </a:xfrm>
        <a:prstGeom prst="ellipse">
          <a:avLst/>
        </a:prstGeom>
        <a:solidFill>
          <a:srgbClr val="4FB946">
            <a:alpha val="30576"/>
          </a:srgbClr>
        </a:solidFill>
        <a:ln>
          <a:solidFill>
            <a:srgbClr val="F47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217092</xdr:colOff>
      <xdr:row>348</xdr:row>
      <xdr:rowOff>86837</xdr:rowOff>
    </xdr:from>
    <xdr:to>
      <xdr:col>2</xdr:col>
      <xdr:colOff>1139743</xdr:colOff>
      <xdr:row>349</xdr:row>
      <xdr:rowOff>141111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0B81B19-CE07-AB46-A0A7-ED5485653C3A}"/>
            </a:ext>
          </a:extLst>
        </xdr:cNvPr>
        <xdr:cNvSpPr txBox="1"/>
      </xdr:nvSpPr>
      <xdr:spPr>
        <a:xfrm>
          <a:off x="2388032" y="71641025"/>
          <a:ext cx="922651" cy="249659"/>
        </a:xfrm>
        <a:prstGeom prst="rect">
          <a:avLst/>
        </a:prstGeom>
        <a:solidFill>
          <a:srgbClr val="4FB946"/>
        </a:solidFill>
        <a:ln w="1270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bg1"/>
              </a:solidFill>
            </a:rPr>
            <a:t>170% growth</a:t>
          </a:r>
        </a:p>
      </xdr:txBody>
    </xdr:sp>
    <xdr:clientData/>
  </xdr:twoCellAnchor>
  <xdr:twoCellAnchor>
    <xdr:from>
      <xdr:col>1</xdr:col>
      <xdr:colOff>138087</xdr:colOff>
      <xdr:row>369</xdr:row>
      <xdr:rowOff>14313</xdr:rowOff>
    </xdr:from>
    <xdr:to>
      <xdr:col>5</xdr:col>
      <xdr:colOff>33262</xdr:colOff>
      <xdr:row>383</xdr:row>
      <xdr:rowOff>76402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31560B2-4155-B18C-A62F-E9D6936CA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834908</xdr:colOff>
      <xdr:row>370</xdr:row>
      <xdr:rowOff>18091</xdr:rowOff>
    </xdr:from>
    <xdr:to>
      <xdr:col>4</xdr:col>
      <xdr:colOff>645856</xdr:colOff>
      <xdr:row>372</xdr:row>
      <xdr:rowOff>176389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9BD4573-3EF4-1143-891A-5DB0271A81CE}"/>
            </a:ext>
          </a:extLst>
        </xdr:cNvPr>
        <xdr:cNvSpPr/>
      </xdr:nvSpPr>
      <xdr:spPr>
        <a:xfrm>
          <a:off x="4339167" y="73395869"/>
          <a:ext cx="1045670" cy="534594"/>
        </a:xfrm>
        <a:prstGeom prst="ellipse">
          <a:avLst/>
        </a:prstGeom>
        <a:solidFill>
          <a:srgbClr val="4FB946">
            <a:alpha val="30576"/>
          </a:srgbClr>
        </a:solidFill>
        <a:ln>
          <a:solidFill>
            <a:srgbClr val="F47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792139</xdr:colOff>
      <xdr:row>371</xdr:row>
      <xdr:rowOff>43636</xdr:rowOff>
    </xdr:from>
    <xdr:to>
      <xdr:col>3</xdr:col>
      <xdr:colOff>727220</xdr:colOff>
      <xdr:row>372</xdr:row>
      <xdr:rowOff>31767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81D0B75-3F9C-B449-95EE-E8E059EB99FE}"/>
            </a:ext>
          </a:extLst>
        </xdr:cNvPr>
        <xdr:cNvSpPr txBox="1"/>
      </xdr:nvSpPr>
      <xdr:spPr>
        <a:xfrm>
          <a:off x="2963259" y="74135752"/>
          <a:ext cx="1278857" cy="177841"/>
        </a:xfrm>
        <a:prstGeom prst="rect">
          <a:avLst/>
        </a:prstGeom>
        <a:solidFill>
          <a:srgbClr val="4FB946"/>
        </a:solidFill>
        <a:ln w="1270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bg1"/>
              </a:solidFill>
            </a:rPr>
            <a:t>Warehouse-related</a:t>
          </a:r>
          <a:r>
            <a:rPr lang="en-US" sz="700" b="1" baseline="0">
              <a:solidFill>
                <a:schemeClr val="bg1"/>
              </a:solidFill>
            </a:rPr>
            <a:t> purchase</a:t>
          </a:r>
          <a:endParaRPr lang="en-US" sz="7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778933</xdr:colOff>
      <xdr:row>144</xdr:row>
      <xdr:rowOff>67734</xdr:rowOff>
    </xdr:from>
    <xdr:to>
      <xdr:col>41</xdr:col>
      <xdr:colOff>793044</xdr:colOff>
      <xdr:row>161</xdr:row>
      <xdr:rowOff>96189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F058423B-46D7-BD44-BBAE-85CE1060E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43</xdr:col>
      <xdr:colOff>0</xdr:colOff>
      <xdr:row>144</xdr:row>
      <xdr:rowOff>56444</xdr:rowOff>
    </xdr:from>
    <xdr:to>
      <xdr:col>48</xdr:col>
      <xdr:colOff>409222</xdr:colOff>
      <xdr:row>158</xdr:row>
      <xdr:rowOff>33866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BBE936B-D779-1D44-8BE3-3405EDA93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0</xdr:colOff>
      <xdr:row>397</xdr:row>
      <xdr:rowOff>0</xdr:rowOff>
    </xdr:from>
    <xdr:to>
      <xdr:col>9</xdr:col>
      <xdr:colOff>501197</xdr:colOff>
      <xdr:row>411</xdr:row>
      <xdr:rowOff>44450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C59C57BB-0142-5D47-90E3-CCE811892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84667</xdr:colOff>
      <xdr:row>398</xdr:row>
      <xdr:rowOff>101600</xdr:rowOff>
    </xdr:from>
    <xdr:to>
      <xdr:col>9</xdr:col>
      <xdr:colOff>228600</xdr:colOff>
      <xdr:row>400</xdr:row>
      <xdr:rowOff>169334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DD53C19D-871A-8F44-B408-876216DE1C91}"/>
            </a:ext>
          </a:extLst>
        </xdr:cNvPr>
        <xdr:cNvCxnSpPr/>
      </xdr:nvCxnSpPr>
      <xdr:spPr>
        <a:xfrm flipV="1">
          <a:off x="8568267" y="84709000"/>
          <a:ext cx="1998133" cy="474134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533401</xdr:colOff>
      <xdr:row>398</xdr:row>
      <xdr:rowOff>0</xdr:rowOff>
    </xdr:from>
    <xdr:to>
      <xdr:col>8</xdr:col>
      <xdr:colOff>648141</xdr:colOff>
      <xdr:row>399</xdr:row>
      <xdr:rowOff>40190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4AF474B-34B9-0843-8087-3F3DD5A60D29}"/>
            </a:ext>
          </a:extLst>
        </xdr:cNvPr>
        <xdr:cNvSpPr txBox="1"/>
      </xdr:nvSpPr>
      <xdr:spPr>
        <a:xfrm rot="20784506">
          <a:off x="9017001" y="84607400"/>
          <a:ext cx="876740" cy="243390"/>
        </a:xfrm>
        <a:prstGeom prst="rect">
          <a:avLst/>
        </a:prstGeom>
        <a:solidFill>
          <a:srgbClr val="4FB946"/>
        </a:solidFill>
        <a:ln w="1270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bg1"/>
              </a:solidFill>
            </a:rPr>
            <a:t>4,8% CAGR</a:t>
          </a:r>
        </a:p>
      </xdr:txBody>
    </xdr:sp>
    <xdr:clientData/>
  </xdr:twoCellAnchor>
  <xdr:twoCellAnchor>
    <xdr:from>
      <xdr:col>4</xdr:col>
      <xdr:colOff>60477</xdr:colOff>
      <xdr:row>413</xdr:row>
      <xdr:rowOff>75595</xdr:rowOff>
    </xdr:from>
    <xdr:to>
      <xdr:col>9</xdr:col>
      <xdr:colOff>561674</xdr:colOff>
      <xdr:row>427</xdr:row>
      <xdr:rowOff>120045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5FF1DA3B-E68D-1449-8918-1A31E16BB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175173</xdr:colOff>
      <xdr:row>414</xdr:row>
      <xdr:rowOff>131379</xdr:rowOff>
    </xdr:from>
    <xdr:to>
      <xdr:col>9</xdr:col>
      <xdr:colOff>153276</xdr:colOff>
      <xdr:row>418</xdr:row>
      <xdr:rowOff>177216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D22C1C12-BBC2-0849-858C-4E268F3EC0AD}"/>
            </a:ext>
          </a:extLst>
        </xdr:cNvPr>
        <xdr:cNvCxnSpPr/>
      </xdr:nvCxnSpPr>
      <xdr:spPr>
        <a:xfrm flipV="1">
          <a:off x="8605345" y="85287069"/>
          <a:ext cx="1795517" cy="834113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560679</xdr:colOff>
      <xdr:row>414</xdr:row>
      <xdr:rowOff>185259</xdr:rowOff>
    </xdr:from>
    <xdr:to>
      <xdr:col>8</xdr:col>
      <xdr:colOff>801818</xdr:colOff>
      <xdr:row>416</xdr:row>
      <xdr:rowOff>24623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E88DF1A-087A-D148-B296-7920EA59C3CD}"/>
            </a:ext>
          </a:extLst>
        </xdr:cNvPr>
        <xdr:cNvSpPr txBox="1"/>
      </xdr:nvSpPr>
      <xdr:spPr>
        <a:xfrm rot="20042911">
          <a:off x="8993479" y="82963859"/>
          <a:ext cx="990439" cy="220364"/>
        </a:xfrm>
        <a:prstGeom prst="rect">
          <a:avLst/>
        </a:prstGeom>
        <a:solidFill>
          <a:srgbClr val="4FB946"/>
        </a:solidFill>
        <a:ln w="1270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bg1"/>
              </a:solidFill>
            </a:rPr>
            <a:t>12,15% CAGR</a:t>
          </a:r>
        </a:p>
      </xdr:txBody>
    </xdr:sp>
    <xdr:clientData/>
  </xdr:twoCellAnchor>
  <xdr:twoCellAnchor>
    <xdr:from>
      <xdr:col>1</xdr:col>
      <xdr:colOff>63500</xdr:colOff>
      <xdr:row>413</xdr:row>
      <xdr:rowOff>38100</xdr:rowOff>
    </xdr:from>
    <xdr:to>
      <xdr:col>3</xdr:col>
      <xdr:colOff>34636</xdr:colOff>
      <xdr:row>427</xdr:row>
      <xdr:rowOff>33481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1B69316-3CB0-E54D-84AB-DE8C8F71B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2271485</xdr:colOff>
      <xdr:row>413</xdr:row>
      <xdr:rowOff>82119</xdr:rowOff>
    </xdr:from>
    <xdr:to>
      <xdr:col>2</xdr:col>
      <xdr:colOff>1364342</xdr:colOff>
      <xdr:row>426</xdr:row>
      <xdr:rowOff>183719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95578B6B-630E-BBD8-CE5D-C3F5B18B1CC1}"/>
            </a:ext>
          </a:extLst>
        </xdr:cNvPr>
        <xdr:cNvSpPr/>
      </xdr:nvSpPr>
      <xdr:spPr>
        <a:xfrm>
          <a:off x="3092688" y="82899487"/>
          <a:ext cx="2291729" cy="2584307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133684</xdr:colOff>
      <xdr:row>396</xdr:row>
      <xdr:rowOff>133684</xdr:rowOff>
    </xdr:from>
    <xdr:to>
      <xdr:col>16</xdr:col>
      <xdr:colOff>528053</xdr:colOff>
      <xdr:row>410</xdr:row>
      <xdr:rowOff>69516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CBCB9065-AB80-1340-AB6B-DF9C0250C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</xdr:col>
      <xdr:colOff>736601</xdr:colOff>
      <xdr:row>396</xdr:row>
      <xdr:rowOff>88900</xdr:rowOff>
    </xdr:from>
    <xdr:to>
      <xdr:col>16</xdr:col>
      <xdr:colOff>406401</xdr:colOff>
      <xdr:row>408</xdr:row>
      <xdr:rowOff>177800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A608142-0D91-FB4E-A60D-60D19B9CF0E9}"/>
            </a:ext>
          </a:extLst>
        </xdr:cNvPr>
        <xdr:cNvSpPr/>
      </xdr:nvSpPr>
      <xdr:spPr>
        <a:xfrm>
          <a:off x="14300201" y="79438500"/>
          <a:ext cx="2146300" cy="2374900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absoluteAnchor>
    <xdr:pos x="762641" y="87655865"/>
    <xdr:ext cx="4921316" cy="3199935"/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4C6C0759-1B89-8A4E-A90E-A5243C3D69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absoluteAnchor>
  <xdr:twoCellAnchor>
    <xdr:from>
      <xdr:col>1</xdr:col>
      <xdr:colOff>2514985</xdr:colOff>
      <xdr:row>427</xdr:row>
      <xdr:rowOff>153169</xdr:rowOff>
    </xdr:from>
    <xdr:to>
      <xdr:col>3</xdr:col>
      <xdr:colOff>210842</xdr:colOff>
      <xdr:row>441</xdr:row>
      <xdr:rowOff>102369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3866654-5A98-AD47-96DF-9412B479DFE4}"/>
            </a:ext>
          </a:extLst>
        </xdr:cNvPr>
        <xdr:cNvSpPr/>
      </xdr:nvSpPr>
      <xdr:spPr>
        <a:xfrm>
          <a:off x="3335995" y="87898624"/>
          <a:ext cx="2288382" cy="2643139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1713473</xdr:colOff>
      <xdr:row>431</xdr:row>
      <xdr:rowOff>153810</xdr:rowOff>
    </xdr:from>
    <xdr:to>
      <xdr:col>1</xdr:col>
      <xdr:colOff>2335773</xdr:colOff>
      <xdr:row>431</xdr:row>
      <xdr:rowOff>153810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A0BB679-399A-474F-BB74-BF7D3DE3DEA3}"/>
            </a:ext>
          </a:extLst>
        </xdr:cNvPr>
        <xdr:cNvCxnSpPr/>
      </xdr:nvCxnSpPr>
      <xdr:spPr>
        <a:xfrm>
          <a:off x="2534483" y="88668962"/>
          <a:ext cx="622300" cy="0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686781</xdr:colOff>
      <xdr:row>430</xdr:row>
      <xdr:rowOff>135614</xdr:rowOff>
    </xdr:from>
    <xdr:to>
      <xdr:col>1</xdr:col>
      <xdr:colOff>1789802</xdr:colOff>
      <xdr:row>433</xdr:row>
      <xdr:rowOff>11932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E66F86A-49BA-0541-BBD9-C4996524EBA6}"/>
            </a:ext>
          </a:extLst>
        </xdr:cNvPr>
        <xdr:cNvSpPr txBox="1"/>
      </xdr:nvSpPr>
      <xdr:spPr>
        <a:xfrm>
          <a:off x="1507791" y="88458341"/>
          <a:ext cx="1103021" cy="453591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>
              <a:solidFill>
                <a:schemeClr val="tx1"/>
              </a:solidFill>
            </a:rPr>
            <a:t>COGS/Rev</a:t>
          </a:r>
          <a:r>
            <a:rPr lang="en-US" sz="1050" b="0" baseline="0">
              <a:solidFill>
                <a:schemeClr val="tx1"/>
              </a:solidFill>
            </a:rPr>
            <a:t>enue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baseline="0">
              <a:solidFill>
                <a:schemeClr val="tx1"/>
              </a:solidFill>
            </a:rPr>
            <a:t>[84% - 86%]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0</xdr:colOff>
      <xdr:row>432</xdr:row>
      <xdr:rowOff>0</xdr:rowOff>
    </xdr:from>
    <xdr:to>
      <xdr:col>10</xdr:col>
      <xdr:colOff>408065</xdr:colOff>
      <xdr:row>446</xdr:row>
      <xdr:rowOff>119922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8151D74-2E5C-114F-9C2F-6C6F69D31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679899</xdr:colOff>
      <xdr:row>433</xdr:row>
      <xdr:rowOff>25657</xdr:rowOff>
    </xdr:from>
    <xdr:to>
      <xdr:col>10</xdr:col>
      <xdr:colOff>325654</xdr:colOff>
      <xdr:row>444</xdr:row>
      <xdr:rowOff>180108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1412D07-4067-B74D-9E06-97B318EBB948}"/>
            </a:ext>
          </a:extLst>
        </xdr:cNvPr>
        <xdr:cNvSpPr/>
      </xdr:nvSpPr>
      <xdr:spPr>
        <a:xfrm>
          <a:off x="9112699" y="86334857"/>
          <a:ext cx="2304288" cy="2203384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38485</xdr:colOff>
      <xdr:row>436</xdr:row>
      <xdr:rowOff>38485</xdr:rowOff>
    </xdr:from>
    <xdr:to>
      <xdr:col>7</xdr:col>
      <xdr:colOff>660785</xdr:colOff>
      <xdr:row>436</xdr:row>
      <xdr:rowOff>38485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A4D5005-E429-A74F-A64E-4A5722D59ED0}"/>
            </a:ext>
          </a:extLst>
        </xdr:cNvPr>
        <xdr:cNvCxnSpPr/>
      </xdr:nvCxnSpPr>
      <xdr:spPr>
        <a:xfrm>
          <a:off x="8441010" y="89515758"/>
          <a:ext cx="622300" cy="0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564445</xdr:colOff>
      <xdr:row>435</xdr:row>
      <xdr:rowOff>76970</xdr:rowOff>
    </xdr:from>
    <xdr:to>
      <xdr:col>7</xdr:col>
      <xdr:colOff>115455</xdr:colOff>
      <xdr:row>439</xdr:row>
      <xdr:rowOff>166768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07B3397-4C10-C948-BA54-892CBBC358CF}"/>
            </a:ext>
          </a:extLst>
        </xdr:cNvPr>
        <xdr:cNvSpPr txBox="1"/>
      </xdr:nvSpPr>
      <xdr:spPr>
        <a:xfrm>
          <a:off x="7478889" y="89361818"/>
          <a:ext cx="1039091" cy="859495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>
              <a:solidFill>
                <a:schemeClr val="tx1"/>
              </a:solidFill>
            </a:rPr>
            <a:t>SG&amp;A/Gross</a:t>
          </a:r>
          <a:r>
            <a:rPr lang="en-US" sz="1050" b="0" baseline="0">
              <a:solidFill>
                <a:schemeClr val="tx1"/>
              </a:solidFill>
            </a:rPr>
            <a:t> Profit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baseline="0">
              <a:solidFill>
                <a:schemeClr val="tx1"/>
              </a:solidFill>
            </a:rPr>
            <a:t>[89% - average portion from 2018 - 2022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876300</xdr:colOff>
      <xdr:row>454</xdr:row>
      <xdr:rowOff>101600</xdr:rowOff>
    </xdr:from>
    <xdr:to>
      <xdr:col>8</xdr:col>
      <xdr:colOff>990600</xdr:colOff>
      <xdr:row>473</xdr:row>
      <xdr:rowOff>191061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1DB7FEA-0F8F-A070-E0A6-57F4E8EDC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337401</xdr:colOff>
      <xdr:row>462</xdr:row>
      <xdr:rowOff>143787</xdr:rowOff>
    </xdr:from>
    <xdr:to>
      <xdr:col>7</xdr:col>
      <xdr:colOff>501292</xdr:colOff>
      <xdr:row>462</xdr:row>
      <xdr:rowOff>143787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4D65B827-E02E-3940-88EA-F1F065698470}"/>
            </a:ext>
          </a:extLst>
        </xdr:cNvPr>
        <xdr:cNvCxnSpPr/>
      </xdr:nvCxnSpPr>
      <xdr:spPr>
        <a:xfrm flipH="1">
          <a:off x="8024835" y="93921486"/>
          <a:ext cx="916899" cy="0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503611</xdr:colOff>
      <xdr:row>462</xdr:row>
      <xdr:rowOff>27246</xdr:rowOff>
    </xdr:from>
    <xdr:to>
      <xdr:col>8</xdr:col>
      <xdr:colOff>800494</xdr:colOff>
      <xdr:row>466</xdr:row>
      <xdr:rowOff>117044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CE25454-3862-6A43-B6EC-F5C1B5BC0460}"/>
            </a:ext>
          </a:extLst>
        </xdr:cNvPr>
        <xdr:cNvSpPr txBox="1"/>
      </xdr:nvSpPr>
      <xdr:spPr>
        <a:xfrm>
          <a:off x="8944053" y="93804945"/>
          <a:ext cx="1049892" cy="854046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>
              <a:solidFill>
                <a:schemeClr val="tx1"/>
              </a:solidFill>
            </a:rPr>
            <a:t>Second warehouse in Long</a:t>
          </a:r>
          <a:r>
            <a:rPr lang="en-US" sz="1050" b="0" baseline="0">
              <a:solidFill>
                <a:schemeClr val="tx1"/>
              </a:solidFill>
            </a:rPr>
            <a:t> An purchase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1348422</xdr:colOff>
      <xdr:row>458</xdr:row>
      <xdr:rowOff>65704</xdr:rowOff>
    </xdr:from>
    <xdr:to>
      <xdr:col>4</xdr:col>
      <xdr:colOff>671639</xdr:colOff>
      <xdr:row>462</xdr:row>
      <xdr:rowOff>135466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4543B5B-C711-D748-AC01-5FE3D8094F52}"/>
            </a:ext>
          </a:extLst>
        </xdr:cNvPr>
        <xdr:cNvSpPr txBox="1"/>
      </xdr:nvSpPr>
      <xdr:spPr>
        <a:xfrm>
          <a:off x="5371962" y="93079155"/>
          <a:ext cx="1481093" cy="834010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>
              <a:solidFill>
                <a:schemeClr val="tx1"/>
              </a:solidFill>
            </a:rPr>
            <a:t>First warehouse in Me Linh</a:t>
          </a:r>
          <a:r>
            <a:rPr lang="en-US" sz="1050" b="0" baseline="0">
              <a:solidFill>
                <a:schemeClr val="tx1"/>
              </a:solidFill>
            </a:rPr>
            <a:t> - Hanoi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534974</xdr:colOff>
      <xdr:row>459</xdr:row>
      <xdr:rowOff>11239</xdr:rowOff>
    </xdr:from>
    <xdr:to>
      <xdr:col>5</xdr:col>
      <xdr:colOff>33717</xdr:colOff>
      <xdr:row>459</xdr:row>
      <xdr:rowOff>11989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2901790-E630-1948-9863-3B6691BC7836}"/>
            </a:ext>
          </a:extLst>
        </xdr:cNvPr>
        <xdr:cNvCxnSpPr/>
      </xdr:nvCxnSpPr>
      <xdr:spPr>
        <a:xfrm flipV="1">
          <a:off x="6716390" y="93215752"/>
          <a:ext cx="251752" cy="750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168583</xdr:colOff>
      <xdr:row>457</xdr:row>
      <xdr:rowOff>22479</xdr:rowOff>
    </xdr:from>
    <xdr:to>
      <xdr:col>5</xdr:col>
      <xdr:colOff>595663</xdr:colOff>
      <xdr:row>473</xdr:row>
      <xdr:rowOff>168584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9035373-66D4-38AD-11BB-8AEA2FF0C2F2}"/>
            </a:ext>
          </a:extLst>
        </xdr:cNvPr>
        <xdr:cNvSpPr/>
      </xdr:nvSpPr>
      <xdr:spPr>
        <a:xfrm>
          <a:off x="7103008" y="92844868"/>
          <a:ext cx="427080" cy="3203097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601957</xdr:colOff>
      <xdr:row>461</xdr:row>
      <xdr:rowOff>107445</xdr:rowOff>
    </xdr:from>
    <xdr:to>
      <xdr:col>6</xdr:col>
      <xdr:colOff>276028</xdr:colOff>
      <xdr:row>473</xdr:row>
      <xdr:rowOff>174878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F77C78C-6810-8E4D-AFB4-F2D7B9AACE08}"/>
            </a:ext>
          </a:extLst>
        </xdr:cNvPr>
        <xdr:cNvSpPr/>
      </xdr:nvSpPr>
      <xdr:spPr>
        <a:xfrm>
          <a:off x="7536382" y="93694082"/>
          <a:ext cx="427080" cy="2360177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431800</xdr:colOff>
      <xdr:row>3</xdr:row>
      <xdr:rowOff>12700</xdr:rowOff>
    </xdr:from>
    <xdr:to>
      <xdr:col>22</xdr:col>
      <xdr:colOff>50800</xdr:colOff>
      <xdr:row>15</xdr:row>
      <xdr:rowOff>114300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86E9516-4386-F840-AAC3-99B658C09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</xdr:col>
      <xdr:colOff>719668</xdr:colOff>
      <xdr:row>396</xdr:row>
      <xdr:rowOff>21167</xdr:rowOff>
    </xdr:from>
    <xdr:to>
      <xdr:col>16</xdr:col>
      <xdr:colOff>389468</xdr:colOff>
      <xdr:row>408</xdr:row>
      <xdr:rowOff>110067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B0CA8B76-C928-984D-A696-958E2142C8C5}"/>
            </a:ext>
          </a:extLst>
        </xdr:cNvPr>
        <xdr:cNvSpPr/>
      </xdr:nvSpPr>
      <xdr:spPr>
        <a:xfrm>
          <a:off x="14300201" y="79438500"/>
          <a:ext cx="2159000" cy="2324100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474132</xdr:colOff>
      <xdr:row>4</xdr:row>
      <xdr:rowOff>169333</xdr:rowOff>
    </xdr:from>
    <xdr:to>
      <xdr:col>21</xdr:col>
      <xdr:colOff>592666</xdr:colOff>
      <xdr:row>6</xdr:row>
      <xdr:rowOff>93790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389BF24F-47B1-2443-9E49-143AD1B382D4}"/>
            </a:ext>
          </a:extLst>
        </xdr:cNvPr>
        <xdr:cNvCxnSpPr/>
      </xdr:nvCxnSpPr>
      <xdr:spPr>
        <a:xfrm flipV="1">
          <a:off x="19033065" y="999066"/>
          <a:ext cx="1778001" cy="296991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688594</xdr:colOff>
      <xdr:row>4</xdr:row>
      <xdr:rowOff>5498</xdr:rowOff>
    </xdr:from>
    <xdr:to>
      <xdr:col>20</xdr:col>
      <xdr:colOff>777933</xdr:colOff>
      <xdr:row>5</xdr:row>
      <xdr:rowOff>88554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2419298-0DE1-3746-B4C0-004ED91ABCB0}"/>
            </a:ext>
          </a:extLst>
        </xdr:cNvPr>
        <xdr:cNvSpPr txBox="1"/>
      </xdr:nvSpPr>
      <xdr:spPr>
        <a:xfrm rot="21032586">
          <a:off x="19189954" y="848778"/>
          <a:ext cx="912299" cy="276096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3.5% CAGR </a:t>
          </a:r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21</xdr:col>
      <xdr:colOff>754062</xdr:colOff>
      <xdr:row>35</xdr:row>
      <xdr:rowOff>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DD43106B-723B-3A49-BEC0-386FB51D2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18</xdr:col>
      <xdr:colOff>787400</xdr:colOff>
      <xdr:row>20</xdr:row>
      <xdr:rowOff>76200</xdr:rowOff>
    </xdr:from>
    <xdr:to>
      <xdr:col>21</xdr:col>
      <xdr:colOff>457200</xdr:colOff>
      <xdr:row>33</xdr:row>
      <xdr:rowOff>114300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54D57B5-278B-8943-814E-5BF5E43C0BFE}"/>
            </a:ext>
          </a:extLst>
        </xdr:cNvPr>
        <xdr:cNvSpPr/>
      </xdr:nvSpPr>
      <xdr:spPr>
        <a:xfrm>
          <a:off x="18669000" y="5080000"/>
          <a:ext cx="2184400" cy="2882900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533400</xdr:colOff>
      <xdr:row>20</xdr:row>
      <xdr:rowOff>0</xdr:rowOff>
    </xdr:from>
    <xdr:to>
      <xdr:col>18</xdr:col>
      <xdr:colOff>757510</xdr:colOff>
      <xdr:row>25</xdr:row>
      <xdr:rowOff>12700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763A69A-4081-B249-B97C-F1EEC49C5AB0}"/>
            </a:ext>
          </a:extLst>
        </xdr:cNvPr>
        <xdr:cNvSpPr txBox="1"/>
      </xdr:nvSpPr>
      <xdr:spPr>
        <a:xfrm>
          <a:off x="17399000" y="4749800"/>
          <a:ext cx="1049610" cy="1168400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tx1"/>
              </a:solidFill>
            </a:rPr>
            <a:t>CAGR</a:t>
          </a:r>
          <a:r>
            <a:rPr lang="en-US" sz="1050" b="1" baseline="0">
              <a:solidFill>
                <a:schemeClr val="tx1"/>
              </a:solidFill>
            </a:rPr>
            <a:t> 6,5% </a:t>
          </a:r>
          <a:r>
            <a:rPr lang="en-US" sz="1050" b="0" baseline="0">
              <a:solidFill>
                <a:schemeClr val="tx1"/>
              </a:solidFill>
            </a:rPr>
            <a:t>and maintain the contribution to revenue after a deep plunge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177800</xdr:colOff>
      <xdr:row>19</xdr:row>
      <xdr:rowOff>177800</xdr:rowOff>
    </xdr:from>
    <xdr:to>
      <xdr:col>29</xdr:col>
      <xdr:colOff>381000</xdr:colOff>
      <xdr:row>33</xdr:row>
      <xdr:rowOff>101600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429537AA-6F0C-C84F-B16B-439810481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15</xdr:col>
      <xdr:colOff>423334</xdr:colOff>
      <xdr:row>38</xdr:row>
      <xdr:rowOff>70556</xdr:rowOff>
    </xdr:from>
    <xdr:to>
      <xdr:col>21</xdr:col>
      <xdr:colOff>344840</xdr:colOff>
      <xdr:row>51</xdr:row>
      <xdr:rowOff>28223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41A28371-73EA-134D-B99E-47220FA2E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18</xdr:col>
      <xdr:colOff>299663</xdr:colOff>
      <xdr:row>38</xdr:row>
      <xdr:rowOff>171235</xdr:rowOff>
    </xdr:from>
    <xdr:to>
      <xdr:col>20</xdr:col>
      <xdr:colOff>727753</xdr:colOff>
      <xdr:row>49</xdr:row>
      <xdr:rowOff>66639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E8D5E9D-6A46-5D46-80BD-D68B62169FA6}"/>
            </a:ext>
          </a:extLst>
        </xdr:cNvPr>
        <xdr:cNvSpPr/>
      </xdr:nvSpPr>
      <xdr:spPr>
        <a:xfrm>
          <a:off x="18036854" y="8362022"/>
          <a:ext cx="2083371" cy="2934842"/>
        </a:xfrm>
        <a:prstGeom prst="rect">
          <a:avLst/>
        </a:prstGeom>
        <a:noFill/>
        <a:ln>
          <a:solidFill>
            <a:srgbClr val="F4702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193261</xdr:colOff>
      <xdr:row>38</xdr:row>
      <xdr:rowOff>13804</xdr:rowOff>
    </xdr:from>
    <xdr:to>
      <xdr:col>17</xdr:col>
      <xdr:colOff>565979</xdr:colOff>
      <xdr:row>43</xdr:row>
      <xdr:rowOff>81721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A5D9A3B-AD60-AB4C-902E-049639F21352}"/>
            </a:ext>
          </a:extLst>
        </xdr:cNvPr>
        <xdr:cNvSpPr txBox="1"/>
      </xdr:nvSpPr>
      <xdr:spPr>
        <a:xfrm>
          <a:off x="16233913" y="8434456"/>
          <a:ext cx="1200979" cy="1172265"/>
        </a:xfrm>
        <a:prstGeom prst="rect">
          <a:avLst/>
        </a:prstGeom>
        <a:noFill/>
        <a:ln w="12700" cmpd="sng">
          <a:noFill/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tx1"/>
              </a:solidFill>
            </a:rPr>
            <a:t>CAGR</a:t>
          </a:r>
          <a:r>
            <a:rPr lang="en-US" sz="1050" b="1" baseline="0">
              <a:solidFill>
                <a:schemeClr val="tx1"/>
              </a:solidFill>
            </a:rPr>
            <a:t> 7,41% </a:t>
          </a:r>
          <a:r>
            <a:rPr lang="en-US" sz="1050" b="0" baseline="0">
              <a:solidFill>
                <a:schemeClr val="tx1"/>
              </a:solidFill>
            </a:rPr>
            <a:t>and maintain the contribution to revenue upon the average of historical data</a:t>
          </a:r>
          <a:endParaRPr lang="en-US" sz="105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457200</xdr:colOff>
      <xdr:row>39</xdr:row>
      <xdr:rowOff>141515</xdr:rowOff>
    </xdr:from>
    <xdr:to>
      <xdr:col>18</xdr:col>
      <xdr:colOff>162127</xdr:colOff>
      <xdr:row>39</xdr:row>
      <xdr:rowOff>141515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FC313E5C-3CF2-984D-ABA0-3BBFC46E28A2}"/>
            </a:ext>
          </a:extLst>
        </xdr:cNvPr>
        <xdr:cNvCxnSpPr/>
      </xdr:nvCxnSpPr>
      <xdr:spPr>
        <a:xfrm>
          <a:off x="17277945" y="8734281"/>
          <a:ext cx="529076" cy="0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828260</xdr:colOff>
      <xdr:row>55</xdr:row>
      <xdr:rowOff>0</xdr:rowOff>
    </xdr:from>
    <xdr:to>
      <xdr:col>20</xdr:col>
      <xdr:colOff>745434</xdr:colOff>
      <xdr:row>72</xdr:row>
      <xdr:rowOff>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7B1B828B-D7AE-0C4D-8EE3-D34AEA508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14</xdr:col>
      <xdr:colOff>153939</xdr:colOff>
      <xdr:row>163</xdr:row>
      <xdr:rowOff>34925</xdr:rowOff>
    </xdr:from>
    <xdr:to>
      <xdr:col>18</xdr:col>
      <xdr:colOff>307880</xdr:colOff>
      <xdr:row>177</xdr:row>
      <xdr:rowOff>111125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4F61C9AC-FDD9-B6D4-1006-8E6FC0330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49</xdr:col>
      <xdr:colOff>204839</xdr:colOff>
      <xdr:row>145</xdr:row>
      <xdr:rowOff>40968</xdr:rowOff>
    </xdr:from>
    <xdr:to>
      <xdr:col>55</xdr:col>
      <xdr:colOff>218950</xdr:colOff>
      <xdr:row>162</xdr:row>
      <xdr:rowOff>69423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FBA478E5-6A35-1B4B-8B39-4DFD66DFE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29</xdr:col>
      <xdr:colOff>390072</xdr:colOff>
      <xdr:row>38</xdr:row>
      <xdr:rowOff>136526</xdr:rowOff>
    </xdr:from>
    <xdr:to>
      <xdr:col>37</xdr:col>
      <xdr:colOff>377031</xdr:colOff>
      <xdr:row>54</xdr:row>
      <xdr:rowOff>0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0DDCCDCB-9268-F723-3DB6-2A18ECFE2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32</xdr:col>
      <xdr:colOff>90714</xdr:colOff>
      <xdr:row>42</xdr:row>
      <xdr:rowOff>22678</xdr:rowOff>
    </xdr:from>
    <xdr:to>
      <xdr:col>34</xdr:col>
      <xdr:colOff>589643</xdr:colOff>
      <xdr:row>46</xdr:row>
      <xdr:rowOff>136071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D3F3B734-01E5-1C4F-8901-B61D896A8472}"/>
            </a:ext>
          </a:extLst>
        </xdr:cNvPr>
        <xdr:cNvCxnSpPr/>
      </xdr:nvCxnSpPr>
      <xdr:spPr>
        <a:xfrm flipV="1">
          <a:off x="29141964" y="9048749"/>
          <a:ext cx="2131786" cy="1315358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539127</xdr:colOff>
      <xdr:row>42</xdr:row>
      <xdr:rowOff>181506</xdr:rowOff>
    </xdr:from>
    <xdr:to>
      <xdr:col>34</xdr:col>
      <xdr:colOff>320511</xdr:colOff>
      <xdr:row>44</xdr:row>
      <xdr:rowOff>30028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E056AB8-F9F5-794A-869D-34497D2E1649}"/>
            </a:ext>
          </a:extLst>
        </xdr:cNvPr>
        <xdr:cNvSpPr txBox="1"/>
      </xdr:nvSpPr>
      <xdr:spPr>
        <a:xfrm rot="19704160">
          <a:off x="29590377" y="9207577"/>
          <a:ext cx="1414241" cy="302094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13%</a:t>
          </a:r>
          <a:r>
            <a:rPr lang="en-US" sz="1200" b="1" baseline="0">
              <a:solidFill>
                <a:schemeClr val="bg1"/>
              </a:solidFill>
            </a:rPr>
            <a:t> yoY growth</a:t>
          </a:r>
          <a:r>
            <a:rPr lang="en-US" sz="1200" b="1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29</xdr:col>
      <xdr:colOff>391319</xdr:colOff>
      <xdr:row>55</xdr:row>
      <xdr:rowOff>17461</xdr:rowOff>
    </xdr:from>
    <xdr:to>
      <xdr:col>37</xdr:col>
      <xdr:colOff>374386</xdr:colOff>
      <xdr:row>76</xdr:row>
      <xdr:rowOff>95779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02C9B96D-4FCF-041D-4B00-E89946B74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32</xdr:col>
      <xdr:colOff>668421</xdr:colOff>
      <xdr:row>60</xdr:row>
      <xdr:rowOff>91113</xdr:rowOff>
    </xdr:from>
    <xdr:to>
      <xdr:col>35</xdr:col>
      <xdr:colOff>222807</xdr:colOff>
      <xdr:row>67</xdr:row>
      <xdr:rowOff>155965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3E30A678-D95F-0644-BF17-99D2D56B4627}"/>
            </a:ext>
          </a:extLst>
        </xdr:cNvPr>
        <xdr:cNvCxnSpPr/>
      </xdr:nvCxnSpPr>
      <xdr:spPr>
        <a:xfrm>
          <a:off x="29922982" y="14016552"/>
          <a:ext cx="2027544" cy="1468536"/>
        </a:xfrm>
        <a:prstGeom prst="straightConnector1">
          <a:avLst/>
        </a:prstGeom>
        <a:ln w="12700">
          <a:solidFill>
            <a:srgbClr val="F4702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224412</xdr:colOff>
      <xdr:row>62</xdr:row>
      <xdr:rowOff>5647</xdr:rowOff>
    </xdr:from>
    <xdr:to>
      <xdr:col>35</xdr:col>
      <xdr:colOff>5796</xdr:colOff>
      <xdr:row>63</xdr:row>
      <xdr:rowOff>99256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33E324C-2BBD-6B42-969A-EF97BF4B8553}"/>
            </a:ext>
          </a:extLst>
        </xdr:cNvPr>
        <xdr:cNvSpPr txBox="1"/>
      </xdr:nvSpPr>
      <xdr:spPr>
        <a:xfrm rot="2022144">
          <a:off x="30399612" y="13738580"/>
          <a:ext cx="1440851" cy="279876"/>
        </a:xfrm>
        <a:prstGeom prst="rect">
          <a:avLst/>
        </a:prstGeom>
        <a:solidFill>
          <a:srgbClr val="4FB946"/>
        </a:solidFill>
        <a:ln w="19050" cmpd="sng">
          <a:solidFill>
            <a:srgbClr val="F47020"/>
          </a:solidFill>
          <a:prstDash val="lg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</a:rPr>
            <a:t>-51%</a:t>
          </a:r>
          <a:r>
            <a:rPr lang="en-US" sz="1200" b="1" baseline="0">
              <a:solidFill>
                <a:schemeClr val="bg1"/>
              </a:solidFill>
            </a:rPr>
            <a:t> yoY growth</a:t>
          </a:r>
          <a:r>
            <a:rPr lang="en-US" sz="1200" b="1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214312</xdr:colOff>
      <xdr:row>36</xdr:row>
      <xdr:rowOff>68487</xdr:rowOff>
    </xdr:from>
    <xdr:to>
      <xdr:col>7</xdr:col>
      <xdr:colOff>793750</xdr:colOff>
      <xdr:row>56</xdr:row>
      <xdr:rowOff>181428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16527-AACC-4F8E-F5BC-79233204D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13</xdr:row>
      <xdr:rowOff>57150</xdr:rowOff>
    </xdr:from>
    <xdr:to>
      <xdr:col>13</xdr:col>
      <xdr:colOff>88900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74AA7-360C-F179-95B4-91F46FFEA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21</xdr:row>
      <xdr:rowOff>181935</xdr:rowOff>
    </xdr:from>
    <xdr:to>
      <xdr:col>7</xdr:col>
      <xdr:colOff>63500</xdr:colOff>
      <xdr:row>22</xdr:row>
      <xdr:rowOff>169234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4313CA-747F-7C7C-F2B0-B3032FF7BCB6}"/>
            </a:ext>
          </a:extLst>
        </xdr:cNvPr>
        <xdr:cNvSpPr txBox="1"/>
      </xdr:nvSpPr>
      <xdr:spPr>
        <a:xfrm>
          <a:off x="8506933" y="4656470"/>
          <a:ext cx="535172" cy="1792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/>
            <a:t>PET.HM</a:t>
          </a:r>
        </a:p>
      </xdr:txBody>
    </xdr:sp>
    <xdr:clientData/>
  </xdr:twoCellAnchor>
  <xdr:twoCellAnchor>
    <xdr:from>
      <xdr:col>8</xdr:col>
      <xdr:colOff>624368</xdr:colOff>
      <xdr:row>20</xdr:row>
      <xdr:rowOff>97465</xdr:rowOff>
    </xdr:from>
    <xdr:to>
      <xdr:col>9</xdr:col>
      <xdr:colOff>484668</xdr:colOff>
      <xdr:row>21</xdr:row>
      <xdr:rowOff>84765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50A9FF-D203-C342-8F81-DC11CA84E776}"/>
            </a:ext>
          </a:extLst>
        </xdr:cNvPr>
        <xdr:cNvSpPr txBox="1"/>
      </xdr:nvSpPr>
      <xdr:spPr>
        <a:xfrm>
          <a:off x="10282275" y="4380023"/>
          <a:ext cx="539602" cy="17927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/>
            <a:t>MWG.HM</a:t>
          </a:r>
        </a:p>
      </xdr:txBody>
    </xdr:sp>
    <xdr:clientData/>
  </xdr:twoCellAnchor>
  <xdr:twoCellAnchor>
    <xdr:from>
      <xdr:col>11</xdr:col>
      <xdr:colOff>586267</xdr:colOff>
      <xdr:row>24</xdr:row>
      <xdr:rowOff>105736</xdr:rowOff>
    </xdr:from>
    <xdr:to>
      <xdr:col>12</xdr:col>
      <xdr:colOff>446567</xdr:colOff>
      <xdr:row>25</xdr:row>
      <xdr:rowOff>91559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7A8A54-18F3-9548-B187-03F197EF1821}"/>
            </a:ext>
          </a:extLst>
        </xdr:cNvPr>
        <xdr:cNvSpPr txBox="1"/>
      </xdr:nvSpPr>
      <xdr:spPr>
        <a:xfrm>
          <a:off x="12282081" y="5156201"/>
          <a:ext cx="539602" cy="1778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/>
            <a:t>DGW.HM</a:t>
          </a:r>
        </a:p>
      </xdr:txBody>
    </xdr:sp>
    <xdr:clientData/>
  </xdr:twoCellAnchor>
  <xdr:twoCellAnchor>
    <xdr:from>
      <xdr:col>9</xdr:col>
      <xdr:colOff>342900</xdr:colOff>
      <xdr:row>17</xdr:row>
      <xdr:rowOff>34261</xdr:rowOff>
    </xdr:from>
    <xdr:to>
      <xdr:col>10</xdr:col>
      <xdr:colOff>203200</xdr:colOff>
      <xdr:row>18</xdr:row>
      <xdr:rowOff>21560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BC1378-72B3-FD40-BCB2-A0F9B033FDE3}"/>
            </a:ext>
          </a:extLst>
        </xdr:cNvPr>
        <xdr:cNvSpPr txBox="1"/>
      </xdr:nvSpPr>
      <xdr:spPr>
        <a:xfrm>
          <a:off x="10680109" y="3740889"/>
          <a:ext cx="539603" cy="17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/>
            <a:t>FRT.HM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</xdr:colOff>
      <xdr:row>2</xdr:row>
      <xdr:rowOff>146050</xdr:rowOff>
    </xdr:from>
    <xdr:to>
      <xdr:col>14</xdr:col>
      <xdr:colOff>450850</xdr:colOff>
      <xdr:row>17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8256E-F370-5F93-6E6F-6D8A7B597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539750</xdr:colOff>
      <xdr:row>41</xdr:row>
      <xdr:rowOff>95250</xdr:rowOff>
    </xdr:from>
    <xdr:to>
      <xdr:col>15</xdr:col>
      <xdr:colOff>717550</xdr:colOff>
      <xdr:row>55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65F4A-8D86-6C24-9DD3-000EC9462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103785</xdr:colOff>
      <xdr:row>26</xdr:row>
      <xdr:rowOff>151033</xdr:rowOff>
    </xdr:from>
    <xdr:to>
      <xdr:col>35</xdr:col>
      <xdr:colOff>396021</xdr:colOff>
      <xdr:row>45</xdr:row>
      <xdr:rowOff>27311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A105AC-BFCE-ECF7-CB4A-D65B2608A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99888</xdr:colOff>
      <xdr:row>69</xdr:row>
      <xdr:rowOff>41010</xdr:rowOff>
    </xdr:from>
    <xdr:to>
      <xdr:col>4</xdr:col>
      <xdr:colOff>143393</xdr:colOff>
      <xdr:row>90</xdr:row>
      <xdr:rowOff>72565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23C824-E435-16C4-E722-436F73449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739167</xdr:colOff>
      <xdr:row>75</xdr:row>
      <xdr:rowOff>19693</xdr:rowOff>
    </xdr:from>
    <xdr:to>
      <xdr:col>12</xdr:col>
      <xdr:colOff>585055</xdr:colOff>
      <xdr:row>97</xdr:row>
      <xdr:rowOff>28539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78A3DE-3607-5903-FEB2-16E620B52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goc Nguyen" id="{1600F837-BAFF-0943-BD89-53F7882776B1}" userId="S::S3927078@rmit.edu.vn::b2c03727-0066-4ebf-9f58-9ba0db3b716f" providerId="AD"/>
  <person displayName="Ngoc Nguyen" id="{B66747BC-CBF2-074E-8BE9-722065045244}" userId="S::s3927078@rmit.edu.vn::b2c03727-0066-4ebf-9f58-9ba0db3b71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2" dT="2023-12-04T06:19:35.57" personId="{1600F837-BAFF-0943-BD89-53F7882776B1}" id="{F67D0247-0742-6949-9D90-F3B7DAC2CA50}">
    <text>net borrowings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7" dT="2023-12-06T18:14:44.35" personId="{B66747BC-CBF2-074E-8BE9-722065045244}" id="{46FCFDC0-EEB2-A541-9D31-19BE349A170E}">
    <text>recheck</text>
  </threadedComment>
  <threadedComment ref="A34" dT="2023-12-06T18:32:47.32" personId="{B66747BC-CBF2-074E-8BE9-722065045244}" id="{C3AE2672-2958-6747-965A-D8AD0C50DE2E}">
    <text>no pattern</text>
  </threadedComment>
  <threadedComment ref="A35" dT="2023-12-08T17:00:52.66" personId="{1600F837-BAFF-0943-BD89-53F7882776B1}" id="{4106A657-858E-F04B-BBD5-CD3D6FC75C98}">
    <text>cash equivalents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3" dT="2023-12-06T18:14:44.35" personId="{B66747BC-CBF2-074E-8BE9-722065045244}" id="{D34A722F-C094-9041-9DF7-430D4EF1EBC8}">
    <text>recheck</text>
  </threadedComment>
  <threadedComment ref="A30" dT="2023-12-06T18:32:47.32" personId="{B66747BC-CBF2-074E-8BE9-722065045244}" id="{C167C54C-608E-5645-8E48-A1862206F6F4}">
    <text>no pattern</text>
  </threadedComment>
  <threadedComment ref="A31" dT="2023-12-08T17:00:52.66" personId="{1600F837-BAFF-0943-BD89-53F7882776B1}" id="{B353DAB8-FB27-694B-AC05-CE300D6BAF13}">
    <text>cash equivalents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5" dT="2023-12-05T07:13:37.31" personId="{1600F837-BAFF-0943-BD89-53F7882776B1}" id="{62971224-4E15-D242-BA40-2AD487BE9708}">
    <text>fixed assets to 5 yrs wont make that big changes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35" dT="2023-12-04T02:18:29.77" personId="{1600F837-BAFF-0943-BD89-53F7882776B1}" id="{B4908BDF-1C36-9B43-99C9-34BB8679C749}">
    <text>start falling</text>
  </threadedComment>
  <threadedComment ref="A40" dT="2023-12-04T07:02:36.11" personId="{1600F837-BAFF-0943-BD89-53F7882776B1}" id="{80EAE944-9461-034A-B366-343B6A0575B0}">
    <text>multiplier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0"/>
  <sheetViews>
    <sheetView showGridLines="0" zoomScale="83" zoomScaleNormal="100" workbookViewId="0">
      <pane ySplit="22" topLeftCell="A34" activePane="bottomLeft" state="frozen"/>
      <selection pane="bottomLeft" activeCell="J49" sqref="J49"/>
    </sheetView>
  </sheetViews>
  <sheetFormatPr baseColWidth="10" defaultColWidth="8.83203125" defaultRowHeight="15" x14ac:dyDescent="0.2"/>
  <cols>
    <col min="1" max="1" width="36.5" bestFit="1" customWidth="1"/>
    <col min="2" max="3" width="28.5" hidden="1" customWidth="1"/>
    <col min="4" max="4" width="28.5" bestFit="1" customWidth="1"/>
    <col min="5" max="5" width="28.5" hidden="1" customWidth="1"/>
    <col min="6" max="15" width="28.5" bestFit="1" customWidth="1"/>
  </cols>
  <sheetData>
    <row r="1" spans="1:15" x14ac:dyDescent="0.2">
      <c r="A1" s="1" t="s">
        <v>0</v>
      </c>
    </row>
    <row r="3" spans="1:15" x14ac:dyDescent="0.2">
      <c r="A3" s="2" t="s">
        <v>1</v>
      </c>
    </row>
    <row r="4" spans="1:15" ht="16" thickBot="1" x14ac:dyDescent="0.25">
      <c r="A4" s="2" t="s">
        <v>2</v>
      </c>
    </row>
    <row r="5" spans="1:15" ht="16" thickBot="1" x14ac:dyDescent="0.25">
      <c r="A5" s="3"/>
      <c r="B5" s="4">
        <v>2016</v>
      </c>
      <c r="C5" s="4">
        <v>2017</v>
      </c>
      <c r="D5" s="4">
        <v>2018</v>
      </c>
      <c r="E5" s="4">
        <v>2019</v>
      </c>
      <c r="F5" s="4">
        <v>2019</v>
      </c>
      <c r="G5" s="4">
        <v>2020</v>
      </c>
      <c r="H5" s="4">
        <v>2021</v>
      </c>
      <c r="I5" s="4">
        <v>2022</v>
      </c>
      <c r="J5" s="41" t="s">
        <v>579</v>
      </c>
      <c r="K5" s="41" t="s">
        <v>580</v>
      </c>
      <c r="L5" s="41" t="s">
        <v>581</v>
      </c>
      <c r="M5" s="41" t="s">
        <v>582</v>
      </c>
      <c r="N5" s="41" t="s">
        <v>583</v>
      </c>
      <c r="O5" s="41" t="s">
        <v>584</v>
      </c>
    </row>
    <row r="6" spans="1:15" ht="14.25" customHeight="1" thickBot="1" x14ac:dyDescent="0.25">
      <c r="A6" s="5" t="s">
        <v>3</v>
      </c>
      <c r="B6" s="6" t="s">
        <v>4</v>
      </c>
      <c r="C6" s="6" t="s">
        <v>4</v>
      </c>
      <c r="D6" s="7" t="s">
        <v>5</v>
      </c>
      <c r="E6" s="6" t="s">
        <v>6</v>
      </c>
      <c r="F6" s="8" t="s">
        <v>7</v>
      </c>
      <c r="G6" s="9" t="s">
        <v>8</v>
      </c>
      <c r="H6" s="7" t="s">
        <v>9</v>
      </c>
      <c r="I6" s="8" t="s">
        <v>10</v>
      </c>
      <c r="J6" s="42"/>
      <c r="K6" s="43"/>
      <c r="L6" s="44"/>
      <c r="M6" s="44"/>
      <c r="N6" s="42"/>
      <c r="O6" s="44"/>
    </row>
    <row r="7" spans="1:15" hidden="1" x14ac:dyDescent="0.2">
      <c r="A7" s="10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15</v>
      </c>
      <c r="G7" s="11" t="s">
        <v>16</v>
      </c>
      <c r="H7" s="11" t="s">
        <v>17</v>
      </c>
      <c r="I7" s="11" t="s">
        <v>18</v>
      </c>
      <c r="J7" s="11" t="s">
        <v>14</v>
      </c>
      <c r="K7" s="11" t="s">
        <v>15</v>
      </c>
      <c r="L7" s="11" t="s">
        <v>15</v>
      </c>
      <c r="M7" s="11" t="s">
        <v>16</v>
      </c>
      <c r="N7" s="11" t="s">
        <v>17</v>
      </c>
      <c r="O7" s="11" t="s">
        <v>18</v>
      </c>
    </row>
    <row r="8" spans="1:15" hidden="1" x14ac:dyDescent="0.2">
      <c r="A8" s="10" t="s">
        <v>19</v>
      </c>
      <c r="B8" s="11" t="s">
        <v>20</v>
      </c>
      <c r="C8" s="11" t="s">
        <v>20</v>
      </c>
      <c r="D8" s="11" t="s">
        <v>20</v>
      </c>
      <c r="E8" s="11" t="s">
        <v>20</v>
      </c>
      <c r="F8" s="11" t="s">
        <v>20</v>
      </c>
      <c r="G8" s="11" t="s">
        <v>20</v>
      </c>
      <c r="H8" s="11" t="s">
        <v>20</v>
      </c>
      <c r="I8" s="11" t="s">
        <v>20</v>
      </c>
      <c r="J8" s="11" t="s">
        <v>20</v>
      </c>
      <c r="K8" s="11" t="s">
        <v>20</v>
      </c>
      <c r="L8" s="11" t="s">
        <v>20</v>
      </c>
      <c r="M8" s="11" t="s">
        <v>20</v>
      </c>
      <c r="N8" s="11" t="s">
        <v>20</v>
      </c>
      <c r="O8" s="11" t="s">
        <v>20</v>
      </c>
    </row>
    <row r="9" spans="1:15" hidden="1" x14ac:dyDescent="0.2">
      <c r="A9" s="10" t="s">
        <v>21</v>
      </c>
      <c r="B9" s="11" t="s">
        <v>22</v>
      </c>
      <c r="C9" s="11" t="s">
        <v>22</v>
      </c>
      <c r="D9" s="11" t="s">
        <v>22</v>
      </c>
      <c r="E9" s="11" t="s">
        <v>22</v>
      </c>
      <c r="F9" s="11" t="s">
        <v>23</v>
      </c>
      <c r="G9" s="11" t="s">
        <v>22</v>
      </c>
      <c r="H9" s="11" t="s">
        <v>22</v>
      </c>
      <c r="I9" s="11" t="s">
        <v>22</v>
      </c>
      <c r="J9" s="11" t="s">
        <v>22</v>
      </c>
      <c r="K9" s="11" t="s">
        <v>22</v>
      </c>
      <c r="L9" s="11" t="s">
        <v>23</v>
      </c>
      <c r="M9" s="11" t="s">
        <v>22</v>
      </c>
      <c r="N9" s="11" t="s">
        <v>22</v>
      </c>
      <c r="O9" s="11" t="s">
        <v>22</v>
      </c>
    </row>
    <row r="10" spans="1:15" hidden="1" x14ac:dyDescent="0.2">
      <c r="A10" s="10" t="s">
        <v>24</v>
      </c>
      <c r="B10" s="11" t="s">
        <v>13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16</v>
      </c>
      <c r="H10" s="11" t="s">
        <v>17</v>
      </c>
      <c r="I10" s="11" t="s">
        <v>18</v>
      </c>
      <c r="J10" s="11" t="s">
        <v>14</v>
      </c>
      <c r="K10" s="11" t="s">
        <v>15</v>
      </c>
      <c r="L10" s="11" t="s">
        <v>16</v>
      </c>
      <c r="M10" s="11" t="s">
        <v>16</v>
      </c>
      <c r="N10" s="11" t="s">
        <v>17</v>
      </c>
      <c r="O10" s="11" t="s">
        <v>18</v>
      </c>
    </row>
    <row r="11" spans="1:15" hidden="1" x14ac:dyDescent="0.2">
      <c r="A11" s="10" t="s">
        <v>25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26</v>
      </c>
    </row>
    <row r="12" spans="1:15" hidden="1" x14ac:dyDescent="0.2">
      <c r="A12" s="10" t="s">
        <v>27</v>
      </c>
      <c r="B12" s="11" t="s">
        <v>28</v>
      </c>
      <c r="C12" s="11" t="s">
        <v>29</v>
      </c>
      <c r="D12" s="11" t="s">
        <v>30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32</v>
      </c>
      <c r="J12" s="11" t="s">
        <v>30</v>
      </c>
      <c r="K12" s="11" t="s">
        <v>31</v>
      </c>
      <c r="L12" s="11" t="s">
        <v>31</v>
      </c>
      <c r="M12" s="11" t="s">
        <v>31</v>
      </c>
      <c r="N12" s="11" t="s">
        <v>31</v>
      </c>
      <c r="O12" s="11" t="s">
        <v>32</v>
      </c>
    </row>
    <row r="13" spans="1:15" hidden="1" x14ac:dyDescent="0.2">
      <c r="A13" s="10" t="s">
        <v>33</v>
      </c>
      <c r="B13" s="11" t="s">
        <v>34</v>
      </c>
      <c r="C13" s="11" t="s">
        <v>34</v>
      </c>
      <c r="D13" s="11" t="s">
        <v>34</v>
      </c>
      <c r="E13" s="11" t="s">
        <v>34</v>
      </c>
      <c r="F13" s="11" t="s">
        <v>34</v>
      </c>
      <c r="G13" s="11" t="s">
        <v>34</v>
      </c>
      <c r="H13" s="11" t="s">
        <v>34</v>
      </c>
      <c r="I13" s="11" t="s">
        <v>34</v>
      </c>
      <c r="J13" s="11" t="s">
        <v>34</v>
      </c>
      <c r="K13" s="11" t="s">
        <v>34</v>
      </c>
      <c r="L13" s="11" t="s">
        <v>34</v>
      </c>
      <c r="M13" s="11" t="s">
        <v>34</v>
      </c>
      <c r="N13" s="11" t="s">
        <v>34</v>
      </c>
      <c r="O13" s="11" t="s">
        <v>34</v>
      </c>
    </row>
    <row r="14" spans="1:15" hidden="1" x14ac:dyDescent="0.2">
      <c r="A14" s="10" t="s">
        <v>35</v>
      </c>
      <c r="B14" s="11" t="s">
        <v>36</v>
      </c>
      <c r="C14" s="11" t="s">
        <v>36</v>
      </c>
      <c r="D14" s="11" t="s">
        <v>36</v>
      </c>
      <c r="E14" s="11" t="s">
        <v>36</v>
      </c>
      <c r="F14" s="11" t="s">
        <v>36</v>
      </c>
      <c r="G14" s="11" t="s">
        <v>36</v>
      </c>
      <c r="H14" s="11" t="s">
        <v>36</v>
      </c>
      <c r="I14" s="11" t="s">
        <v>36</v>
      </c>
      <c r="J14" s="11" t="s">
        <v>36</v>
      </c>
      <c r="K14" s="11" t="s">
        <v>36</v>
      </c>
      <c r="L14" s="11" t="s">
        <v>36</v>
      </c>
      <c r="M14" s="11" t="s">
        <v>36</v>
      </c>
      <c r="N14" s="11" t="s">
        <v>36</v>
      </c>
      <c r="O14" s="11" t="s">
        <v>36</v>
      </c>
    </row>
    <row r="15" spans="1:15" hidden="1" x14ac:dyDescent="0.2">
      <c r="A15" s="10" t="s">
        <v>37</v>
      </c>
      <c r="B15" s="11" t="s">
        <v>38</v>
      </c>
      <c r="C15" s="11" t="s">
        <v>38</v>
      </c>
      <c r="D15" s="11" t="s">
        <v>39</v>
      </c>
      <c r="E15" s="11" t="s">
        <v>40</v>
      </c>
      <c r="F15" s="11" t="s">
        <v>41</v>
      </c>
      <c r="G15" s="11" t="s">
        <v>41</v>
      </c>
      <c r="H15" s="11" t="s">
        <v>42</v>
      </c>
      <c r="I15" s="11" t="s">
        <v>43</v>
      </c>
      <c r="J15" s="11" t="s">
        <v>39</v>
      </c>
      <c r="K15" s="11" t="s">
        <v>40</v>
      </c>
      <c r="L15" s="11" t="s">
        <v>41</v>
      </c>
      <c r="M15" s="11" t="s">
        <v>41</v>
      </c>
      <c r="N15" s="11" t="s">
        <v>42</v>
      </c>
      <c r="O15" s="11" t="s">
        <v>43</v>
      </c>
    </row>
    <row r="16" spans="1:15" hidden="1" x14ac:dyDescent="0.2">
      <c r="A16" s="10" t="s">
        <v>44</v>
      </c>
      <c r="B16" s="11" t="s">
        <v>45</v>
      </c>
      <c r="C16" s="11" t="s">
        <v>46</v>
      </c>
      <c r="D16" s="11" t="s">
        <v>47</v>
      </c>
      <c r="E16" s="11" t="s">
        <v>48</v>
      </c>
      <c r="F16" s="11" t="s">
        <v>49</v>
      </c>
      <c r="G16" s="11" t="s">
        <v>49</v>
      </c>
      <c r="H16" s="11" t="s">
        <v>50</v>
      </c>
      <c r="I16" s="11" t="s">
        <v>51</v>
      </c>
      <c r="J16" s="11" t="s">
        <v>47</v>
      </c>
      <c r="K16" s="11" t="s">
        <v>48</v>
      </c>
      <c r="L16" s="11" t="s">
        <v>49</v>
      </c>
      <c r="M16" s="11" t="s">
        <v>49</v>
      </c>
      <c r="N16" s="11" t="s">
        <v>50</v>
      </c>
      <c r="O16" s="11" t="s">
        <v>51</v>
      </c>
    </row>
    <row r="17" spans="1:15" hidden="1" x14ac:dyDescent="0.2">
      <c r="A17" s="10" t="s">
        <v>52</v>
      </c>
      <c r="B17" s="11" t="s">
        <v>53</v>
      </c>
      <c r="C17" s="11" t="s">
        <v>53</v>
      </c>
      <c r="D17" s="11" t="s">
        <v>53</v>
      </c>
      <c r="E17" s="11" t="s">
        <v>53</v>
      </c>
      <c r="F17" s="11" t="s">
        <v>53</v>
      </c>
      <c r="G17" s="11" t="s">
        <v>53</v>
      </c>
      <c r="H17" s="11" t="s">
        <v>53</v>
      </c>
      <c r="I17" s="11" t="s">
        <v>53</v>
      </c>
      <c r="J17" s="11" t="s">
        <v>53</v>
      </c>
      <c r="K17" s="11" t="s">
        <v>53</v>
      </c>
      <c r="L17" s="11" t="s">
        <v>53</v>
      </c>
      <c r="M17" s="11" t="s">
        <v>53</v>
      </c>
      <c r="N17" s="11" t="s">
        <v>53</v>
      </c>
      <c r="O17" s="11" t="s">
        <v>53</v>
      </c>
    </row>
    <row r="18" spans="1:15" hidden="1" x14ac:dyDescent="0.2">
      <c r="A18" s="10" t="s">
        <v>54</v>
      </c>
      <c r="B18" s="11" t="s">
        <v>55</v>
      </c>
      <c r="C18" s="11" t="s">
        <v>55</v>
      </c>
      <c r="D18" s="11" t="s">
        <v>55</v>
      </c>
      <c r="E18" s="11" t="s">
        <v>55</v>
      </c>
      <c r="F18" s="11" t="s">
        <v>55</v>
      </c>
      <c r="G18" s="11" t="s">
        <v>55</v>
      </c>
      <c r="H18" s="11" t="s">
        <v>55</v>
      </c>
      <c r="I18" s="11" t="s">
        <v>55</v>
      </c>
      <c r="J18" s="11" t="s">
        <v>55</v>
      </c>
      <c r="K18" s="11" t="s">
        <v>55</v>
      </c>
      <c r="L18" s="11" t="s">
        <v>55</v>
      </c>
      <c r="M18" s="11" t="s">
        <v>55</v>
      </c>
      <c r="N18" s="11" t="s">
        <v>55</v>
      </c>
      <c r="O18" s="11" t="s">
        <v>55</v>
      </c>
    </row>
    <row r="19" spans="1:15" hidden="1" x14ac:dyDescent="0.2">
      <c r="A19" s="10" t="s">
        <v>56</v>
      </c>
      <c r="B19" s="11" t="s">
        <v>57</v>
      </c>
      <c r="C19" s="11" t="s">
        <v>57</v>
      </c>
      <c r="D19" s="11" t="s">
        <v>57</v>
      </c>
      <c r="E19" s="11" t="s">
        <v>57</v>
      </c>
      <c r="F19" s="11" t="s">
        <v>57</v>
      </c>
      <c r="G19" s="11" t="s">
        <v>57</v>
      </c>
      <c r="H19" s="11" t="s">
        <v>57</v>
      </c>
      <c r="I19" s="11" t="s">
        <v>57</v>
      </c>
      <c r="J19" s="11" t="s">
        <v>57</v>
      </c>
      <c r="K19" s="11" t="s">
        <v>57</v>
      </c>
      <c r="L19" s="11" t="s">
        <v>57</v>
      </c>
      <c r="M19" s="11" t="s">
        <v>57</v>
      </c>
      <c r="N19" s="11" t="s">
        <v>57</v>
      </c>
      <c r="O19" s="11" t="s">
        <v>57</v>
      </c>
    </row>
    <row r="20" spans="1:15" hidden="1" x14ac:dyDescent="0.2">
      <c r="A20" s="10" t="s">
        <v>58</v>
      </c>
      <c r="B20" s="11" t="s">
        <v>59</v>
      </c>
      <c r="C20" s="11" t="s">
        <v>59</v>
      </c>
      <c r="D20" s="11" t="s">
        <v>59</v>
      </c>
      <c r="E20" s="11" t="s">
        <v>60</v>
      </c>
      <c r="F20" s="11" t="s">
        <v>60</v>
      </c>
      <c r="G20" s="11" t="s">
        <v>60</v>
      </c>
      <c r="H20" s="11" t="s">
        <v>61</v>
      </c>
      <c r="I20" s="11" t="s">
        <v>61</v>
      </c>
      <c r="J20" s="11" t="s">
        <v>59</v>
      </c>
      <c r="K20" s="11" t="s">
        <v>60</v>
      </c>
      <c r="L20" s="11" t="s">
        <v>60</v>
      </c>
      <c r="M20" s="11" t="s">
        <v>60</v>
      </c>
      <c r="N20" s="11" t="s">
        <v>61</v>
      </c>
      <c r="O20" s="11" t="s">
        <v>61</v>
      </c>
    </row>
    <row r="21" spans="1:15" hidden="1" x14ac:dyDescent="0.2">
      <c r="A21" s="10" t="s">
        <v>62</v>
      </c>
      <c r="B21" s="11" t="s">
        <v>63</v>
      </c>
      <c r="C21" s="11" t="s">
        <v>63</v>
      </c>
      <c r="D21" s="11" t="s">
        <v>63</v>
      </c>
      <c r="E21" s="11" t="s">
        <v>64</v>
      </c>
      <c r="F21" s="11" t="s">
        <v>64</v>
      </c>
      <c r="G21" s="11" t="s">
        <v>64</v>
      </c>
      <c r="H21" s="11" t="s">
        <v>64</v>
      </c>
      <c r="I21" s="11" t="s">
        <v>64</v>
      </c>
      <c r="J21" s="11" t="s">
        <v>63</v>
      </c>
      <c r="K21" s="11" t="s">
        <v>64</v>
      </c>
      <c r="L21" s="11" t="s">
        <v>64</v>
      </c>
      <c r="M21" s="11" t="s">
        <v>64</v>
      </c>
      <c r="N21" s="11" t="s">
        <v>64</v>
      </c>
      <c r="O21" s="11" t="s">
        <v>64</v>
      </c>
    </row>
    <row r="22" spans="1:15" hidden="1" x14ac:dyDescent="0.2">
      <c r="A22" s="10" t="s">
        <v>65</v>
      </c>
      <c r="B22" s="11" t="s">
        <v>66</v>
      </c>
      <c r="C22" s="11" t="s">
        <v>66</v>
      </c>
      <c r="D22" s="11" t="s">
        <v>66</v>
      </c>
      <c r="E22" s="11" t="s">
        <v>66</v>
      </c>
      <c r="F22" s="11" t="s">
        <v>66</v>
      </c>
      <c r="G22" s="11" t="s">
        <v>66</v>
      </c>
      <c r="H22" s="11" t="s">
        <v>66</v>
      </c>
      <c r="I22" s="11" t="s">
        <v>66</v>
      </c>
      <c r="J22" s="11" t="s">
        <v>66</v>
      </c>
      <c r="K22" s="11" t="s">
        <v>66</v>
      </c>
      <c r="L22" s="11" t="s">
        <v>66</v>
      </c>
      <c r="M22" s="11" t="s">
        <v>66</v>
      </c>
      <c r="N22" s="11" t="s">
        <v>66</v>
      </c>
      <c r="O22" s="11" t="s">
        <v>66</v>
      </c>
    </row>
    <row r="23" spans="1:15" ht="12" customHeight="1" thickBot="1" x14ac:dyDescent="0.25">
      <c r="A23" s="12" t="s">
        <v>67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ht="16" thickBot="1" x14ac:dyDescent="0.25">
      <c r="A24" s="13" t="s">
        <v>68</v>
      </c>
      <c r="B24" s="14">
        <v>259383</v>
      </c>
      <c r="C24" s="14">
        <v>363074</v>
      </c>
      <c r="D24" s="14">
        <v>434775</v>
      </c>
      <c r="E24" s="14">
        <v>278003</v>
      </c>
      <c r="F24" s="14">
        <v>278003</v>
      </c>
      <c r="G24" s="14">
        <v>28427</v>
      </c>
      <c r="H24" s="14">
        <v>554140</v>
      </c>
      <c r="I24" s="14">
        <v>485623</v>
      </c>
      <c r="J24" s="14"/>
      <c r="K24" s="14"/>
      <c r="L24" s="14"/>
      <c r="M24" s="14"/>
      <c r="N24" s="14"/>
      <c r="O24" s="14"/>
    </row>
    <row r="25" spans="1:15" ht="16" thickBot="1" x14ac:dyDescent="0.25">
      <c r="A25" s="15" t="s">
        <v>69</v>
      </c>
      <c r="B25" s="16">
        <v>1705</v>
      </c>
      <c r="C25" s="16">
        <v>498</v>
      </c>
      <c r="D25" s="16">
        <v>781</v>
      </c>
      <c r="E25" s="16">
        <v>837</v>
      </c>
      <c r="F25" s="16">
        <v>837</v>
      </c>
      <c r="G25" s="16">
        <v>1372</v>
      </c>
      <c r="H25" s="16">
        <v>3811</v>
      </c>
      <c r="I25" s="16">
        <v>115286</v>
      </c>
      <c r="J25" s="16"/>
      <c r="K25" s="16"/>
      <c r="L25" s="16"/>
      <c r="M25" s="16"/>
      <c r="N25" s="16"/>
      <c r="O25" s="16"/>
    </row>
    <row r="26" spans="1:15" ht="16" thickBot="1" x14ac:dyDescent="0.25">
      <c r="A26" s="17" t="s">
        <v>70</v>
      </c>
      <c r="B26" s="18">
        <v>1705</v>
      </c>
      <c r="C26" s="18">
        <v>498</v>
      </c>
      <c r="D26" s="18">
        <v>781</v>
      </c>
      <c r="E26" s="18">
        <v>837</v>
      </c>
      <c r="F26" s="18">
        <v>837</v>
      </c>
      <c r="G26" s="18">
        <v>1372</v>
      </c>
      <c r="H26" s="18">
        <v>3811</v>
      </c>
      <c r="I26" s="18">
        <v>115286</v>
      </c>
      <c r="J26" s="18"/>
      <c r="K26" s="18"/>
      <c r="L26" s="18"/>
      <c r="M26" s="18"/>
      <c r="N26" s="18"/>
      <c r="O26" s="18"/>
    </row>
    <row r="27" spans="1:15" ht="16" thickBot="1" x14ac:dyDescent="0.25">
      <c r="A27" s="15" t="s">
        <v>71</v>
      </c>
      <c r="B27" s="16" t="s">
        <v>72</v>
      </c>
      <c r="C27" s="16">
        <v>586</v>
      </c>
      <c r="D27" s="16" t="s">
        <v>72</v>
      </c>
      <c r="E27" s="16" t="s">
        <v>72</v>
      </c>
      <c r="F27" s="16" t="s">
        <v>72</v>
      </c>
      <c r="G27" s="16" t="s">
        <v>72</v>
      </c>
      <c r="H27" s="16" t="s">
        <v>72</v>
      </c>
      <c r="I27" s="16" t="s">
        <v>72</v>
      </c>
      <c r="J27" s="16"/>
      <c r="K27" s="16"/>
      <c r="L27" s="16"/>
      <c r="M27" s="16"/>
      <c r="N27" s="16"/>
      <c r="O27" s="16"/>
    </row>
    <row r="28" spans="1:15" ht="16" thickBot="1" x14ac:dyDescent="0.25">
      <c r="A28" s="17" t="s">
        <v>73</v>
      </c>
      <c r="B28" s="18" t="s">
        <v>72</v>
      </c>
      <c r="C28" s="18">
        <v>586</v>
      </c>
      <c r="D28" s="18" t="s">
        <v>72</v>
      </c>
      <c r="E28" s="18" t="s">
        <v>72</v>
      </c>
      <c r="F28" s="18" t="s">
        <v>72</v>
      </c>
      <c r="G28" s="18" t="s">
        <v>72</v>
      </c>
      <c r="H28" s="18" t="s">
        <v>72</v>
      </c>
      <c r="I28" s="18" t="s">
        <v>72</v>
      </c>
      <c r="J28" s="18"/>
      <c r="K28" s="18"/>
      <c r="L28" s="18"/>
      <c r="M28" s="18"/>
      <c r="N28" s="18"/>
      <c r="O28" s="18"/>
    </row>
    <row r="29" spans="1:15" ht="16" thickBot="1" x14ac:dyDescent="0.25">
      <c r="A29" s="13" t="s">
        <v>74</v>
      </c>
      <c r="B29" s="14" t="s">
        <v>72</v>
      </c>
      <c r="C29" s="14" t="s">
        <v>72</v>
      </c>
      <c r="D29" s="14" t="s">
        <v>72</v>
      </c>
      <c r="E29" s="14" t="s">
        <v>72</v>
      </c>
      <c r="F29" s="14" t="s">
        <v>72</v>
      </c>
      <c r="G29" s="14" t="s">
        <v>72</v>
      </c>
      <c r="H29" s="14" t="s">
        <v>72</v>
      </c>
      <c r="I29" s="14" t="s">
        <v>72</v>
      </c>
      <c r="J29" s="14"/>
      <c r="K29" s="14"/>
      <c r="L29" s="14"/>
      <c r="M29" s="14"/>
      <c r="N29" s="14"/>
      <c r="O29" s="14"/>
    </row>
    <row r="30" spans="1:15" ht="16" thickBot="1" x14ac:dyDescent="0.25">
      <c r="A30" s="15" t="s">
        <v>75</v>
      </c>
      <c r="B30" s="16">
        <v>36188</v>
      </c>
      <c r="C30" s="16">
        <v>19667</v>
      </c>
      <c r="D30" s="16">
        <v>86821</v>
      </c>
      <c r="E30" s="16">
        <v>91276</v>
      </c>
      <c r="F30" s="16">
        <v>91276</v>
      </c>
      <c r="G30" s="16">
        <v>92129</v>
      </c>
      <c r="H30" s="16">
        <v>-60641</v>
      </c>
      <c r="I30" s="16">
        <v>79146</v>
      </c>
      <c r="J30" s="16"/>
      <c r="K30" s="16"/>
      <c r="L30" s="16"/>
      <c r="M30" s="16"/>
      <c r="N30" s="16"/>
      <c r="O30" s="16"/>
    </row>
    <row r="31" spans="1:15" ht="16" thickBot="1" x14ac:dyDescent="0.25">
      <c r="A31" s="17" t="s">
        <v>76</v>
      </c>
      <c r="B31" s="18">
        <v>-54495</v>
      </c>
      <c r="C31" s="18">
        <v>-34483</v>
      </c>
      <c r="D31" s="18">
        <v>-20946</v>
      </c>
      <c r="E31" s="18">
        <v>-61193</v>
      </c>
      <c r="F31" s="18">
        <v>-61193</v>
      </c>
      <c r="G31" s="18">
        <v>-55871</v>
      </c>
      <c r="H31" s="18">
        <v>-169344</v>
      </c>
      <c r="I31" s="18">
        <v>-147854</v>
      </c>
      <c r="J31" s="18"/>
      <c r="K31" s="18"/>
      <c r="L31" s="18"/>
      <c r="M31" s="18"/>
      <c r="N31" s="18"/>
      <c r="O31" s="18"/>
    </row>
    <row r="32" spans="1:15" ht="16" thickBot="1" x14ac:dyDescent="0.25">
      <c r="A32" s="17" t="s">
        <v>77</v>
      </c>
      <c r="B32" s="18">
        <v>90683</v>
      </c>
      <c r="C32" s="18">
        <v>54150</v>
      </c>
      <c r="D32" s="18">
        <v>107767</v>
      </c>
      <c r="E32" s="18">
        <v>152469</v>
      </c>
      <c r="F32" s="18">
        <v>152469</v>
      </c>
      <c r="G32" s="18">
        <v>148000</v>
      </c>
      <c r="H32" s="18">
        <v>108703</v>
      </c>
      <c r="I32" s="18">
        <v>227000</v>
      </c>
      <c r="J32" s="18"/>
      <c r="K32" s="18"/>
      <c r="L32" s="18"/>
      <c r="M32" s="18"/>
      <c r="N32" s="18"/>
      <c r="O32" s="18"/>
    </row>
    <row r="33" spans="1:16" ht="16" thickBot="1" x14ac:dyDescent="0.25">
      <c r="A33" s="15" t="s">
        <v>78</v>
      </c>
      <c r="B33" s="16">
        <v>-56446</v>
      </c>
      <c r="C33" s="16">
        <v>-204966</v>
      </c>
      <c r="D33" s="16">
        <v>-1909113</v>
      </c>
      <c r="E33" s="16">
        <v>-478312</v>
      </c>
      <c r="F33" s="16">
        <v>-495767</v>
      </c>
      <c r="G33" s="16">
        <v>1396404</v>
      </c>
      <c r="H33" s="16">
        <v>-1971663</v>
      </c>
      <c r="I33" s="16">
        <v>-2187748</v>
      </c>
      <c r="J33" s="63">
        <f>I33*(1+J34)</f>
        <v>-1144435.4002221839</v>
      </c>
      <c r="K33" s="63">
        <f t="shared" ref="K33:O33" si="0">J33*(1+K34)</f>
        <v>-676930.99138673465</v>
      </c>
      <c r="L33" s="63">
        <f t="shared" si="0"/>
        <v>-394718.78824154823</v>
      </c>
      <c r="M33" s="63">
        <f t="shared" si="0"/>
        <v>-227153.46921265277</v>
      </c>
      <c r="N33" s="63">
        <f t="shared" si="0"/>
        <v>-141451.99070153959</v>
      </c>
      <c r="O33" s="63">
        <f t="shared" si="0"/>
        <v>-85123.533706513728</v>
      </c>
    </row>
    <row r="34" spans="1:16" ht="16" thickBot="1" x14ac:dyDescent="0.25">
      <c r="A34" s="15"/>
      <c r="B34" s="16"/>
      <c r="C34" s="16"/>
      <c r="D34" s="89">
        <f>D33/('FPT Digital Retail JSC | Income'!E23-'FPT Digital Retail JSC | Income'!D23)</f>
        <v>-0.88720850256991757</v>
      </c>
      <c r="E34" s="89">
        <f>E33/('FPT Digital Retail JSC | Income'!F23-'FPT Digital Retail JSC | Income'!E23)</f>
        <v>-0.35811848385587269</v>
      </c>
      <c r="F34" s="89">
        <f>F33/('FPT Digital Retail JSC | Income'!F23-'FPT Digital Retail JSC | Income'!E23)</f>
        <v>-0.37118727187646233</v>
      </c>
      <c r="G34" s="89">
        <f>G33/('FPT Digital Retail JSC | Income'!G23-'FPT Digital Retail JSC | Income'!F23)</f>
        <v>-0.70792068918142725</v>
      </c>
      <c r="H34" s="89">
        <f>H33/('FPT Digital Retail JSC | Income'!H23-'FPT Digital Retail JSC | Income'!G23)</f>
        <v>-0.25169489058847438</v>
      </c>
      <c r="I34" s="89">
        <f>I33/('FPT Digital Retail JSC | Income'!I23-'FPT Digital Retail JSC | Income'!H23)</f>
        <v>-0.2852031850488343</v>
      </c>
      <c r="J34" s="132">
        <f>AVERAGE(D34:I34)</f>
        <v>-0.47688883718683145</v>
      </c>
      <c r="K34" s="132">
        <f t="shared" ref="K34:O34" si="1">AVERAGE(E34:J34)</f>
        <v>-0.40850222628965044</v>
      </c>
      <c r="L34" s="132">
        <f t="shared" si="1"/>
        <v>-0.41689951669528003</v>
      </c>
      <c r="M34" s="132">
        <f t="shared" si="1"/>
        <v>-0.42451822416508289</v>
      </c>
      <c r="N34" s="132">
        <f t="shared" si="1"/>
        <v>-0.37728447999569226</v>
      </c>
      <c r="O34" s="132">
        <f t="shared" si="1"/>
        <v>-0.39821607823022864</v>
      </c>
    </row>
    <row r="35" spans="1:16" s="55" customFormat="1" ht="16" thickBot="1" x14ac:dyDescent="0.25">
      <c r="A35" s="53" t="s">
        <v>78</v>
      </c>
      <c r="B35" s="54">
        <v>-56446</v>
      </c>
      <c r="C35" s="54">
        <v>-204966</v>
      </c>
      <c r="D35" s="54">
        <f>SUM(D36,D39,D40,D42)</f>
        <v>-1709917</v>
      </c>
      <c r="E35" s="54">
        <f t="shared" ref="E35:J35" si="2">SUM(E36,E39,E40,E42)</f>
        <v>-259588</v>
      </c>
      <c r="F35" s="54">
        <f t="shared" si="2"/>
        <v>1279781</v>
      </c>
      <c r="G35" s="54">
        <f t="shared" si="2"/>
        <v>-1552472</v>
      </c>
      <c r="H35" s="54">
        <f t="shared" si="2"/>
        <v>-3292417</v>
      </c>
      <c r="I35" s="54">
        <f t="shared" si="2"/>
        <v>-3172437.0120871011</v>
      </c>
      <c r="J35" s="54">
        <f t="shared" si="2"/>
        <v>-1856662.8611938772</v>
      </c>
      <c r="K35" s="54">
        <f>SUM(K36,K39,K40,K42)</f>
        <v>-1158338.1758037633</v>
      </c>
      <c r="L35" s="54">
        <f t="shared" ref="L35" si="3">SUM(L36,L39,L40,L42)</f>
        <v>-908034.94587527437</v>
      </c>
      <c r="M35" s="54">
        <f t="shared" ref="M35" si="4">SUM(M36,M39,M40,M42)</f>
        <v>-437464.4421062998</v>
      </c>
      <c r="N35" s="54">
        <f t="shared" ref="N35" si="5">SUM(N36,N39,N40,N42)</f>
        <v>-771291.3495481218</v>
      </c>
      <c r="O35" s="54">
        <f t="shared" ref="O35" si="6">SUM(O36,O39,O40,O42)</f>
        <v>8964987.7694333475</v>
      </c>
    </row>
    <row r="36" spans="1:16" s="55" customFormat="1" ht="16" thickBot="1" x14ac:dyDescent="0.25">
      <c r="A36" s="123" t="s">
        <v>79</v>
      </c>
      <c r="B36" s="54">
        <v>-289037</v>
      </c>
      <c r="C36" s="54">
        <v>-432257</v>
      </c>
      <c r="D36" s="54">
        <v>-60063</v>
      </c>
      <c r="E36" s="54">
        <v>131186</v>
      </c>
      <c r="F36" s="54">
        <v>113731</v>
      </c>
      <c r="G36" s="54">
        <v>-79330</v>
      </c>
      <c r="H36" s="54">
        <v>51734</v>
      </c>
      <c r="I36" s="54">
        <v>-93023</v>
      </c>
      <c r="J36" s="54">
        <f>I36*(1+J38)</f>
        <v>-90625.77365337596</v>
      </c>
      <c r="K36" s="54">
        <f t="shared" ref="K36:O36" si="7">J36*(1+K38)</f>
        <v>-87505.502049143062</v>
      </c>
      <c r="L36" s="54">
        <f t="shared" si="7"/>
        <v>-84879.653153205742</v>
      </c>
      <c r="M36" s="54">
        <f t="shared" si="7"/>
        <v>-83112.701981115897</v>
      </c>
      <c r="N36" s="54">
        <f t="shared" si="7"/>
        <v>-81651.264546103033</v>
      </c>
      <c r="O36" s="54">
        <f t="shared" si="7"/>
        <v>-80066.107813223614</v>
      </c>
    </row>
    <row r="37" spans="1:16" ht="16" hidden="1" thickBot="1" x14ac:dyDescent="0.25">
      <c r="A37" s="123" t="s">
        <v>79</v>
      </c>
      <c r="B37" s="18"/>
      <c r="C37" s="18"/>
      <c r="D37" s="18">
        <f>'FPT Digital Retail JSC | BS'!D27-'FPT Digital Retail JSC | BS'!C27</f>
        <v>-74823</v>
      </c>
      <c r="E37" s="18">
        <f>'FPT Digital Retail JSC | BS'!E27-'FPT Digital Retail JSC | BS'!D27</f>
        <v>40076</v>
      </c>
      <c r="F37" s="18">
        <f>'FPT Digital Retail JSC | BS'!E27-'FPT Digital Retail JSC | BS'!D27</f>
        <v>40076</v>
      </c>
      <c r="G37" s="18">
        <f>'FPT Digital Retail JSC | BS'!F27-'FPT Digital Retail JSC | BS'!E27</f>
        <v>-145516</v>
      </c>
      <c r="H37" s="18">
        <f>'FPT Digital Retail JSC | BS'!G27-'FPT Digital Retail JSC | BS'!F27</f>
        <v>-41622</v>
      </c>
      <c r="I37" s="18">
        <f>'FPT Digital Retail JSC | BS'!H27-'FPT Digital Retail JSC | BS'!G27</f>
        <v>9502</v>
      </c>
      <c r="J37" s="18">
        <f>'FPT Digital Retail JSC | BS'!H27-'FPT Digital Retail JSC | BS'!I27</f>
        <v>-253885.41288887011</v>
      </c>
      <c r="K37" s="18">
        <f>'FPT Digital Retail JSC | BS'!I27-'FPT Digital Retail JSC | BS'!J27</f>
        <v>21535.211822386249</v>
      </c>
      <c r="L37" s="18">
        <f>'FPT Digital Retail JSC | BS'!J27-'FPT Digital Retail JSC | BS'!K27</f>
        <v>46423.236328269006</v>
      </c>
      <c r="M37" s="18">
        <f>'FPT Digital Retail JSC | BS'!K27-'FPT Digital Retail JSC | BS'!L27</f>
        <v>-5331.993103343877</v>
      </c>
      <c r="N37" s="18">
        <f>'FPT Digital Retail JSC | BS'!L27-'FPT Digital Retail JSC | BS'!M27</f>
        <v>-43604.398081799794</v>
      </c>
      <c r="O37" s="18">
        <f>'FPT Digital Retail JSC | BS'!M27-'FPT Digital Retail JSC | BS'!N27</f>
        <v>-65726.922429712082</v>
      </c>
    </row>
    <row r="38" spans="1:16" ht="16" thickBot="1" x14ac:dyDescent="0.25">
      <c r="A38" s="127" t="s">
        <v>635</v>
      </c>
      <c r="B38" s="18"/>
      <c r="C38" s="18"/>
      <c r="D38" s="115">
        <f>-D36/('FPT Digital Retail JSC | Income'!D23-'FPT Digital Retail JSC | Income'!C23)</f>
        <v>2.6189957093522169E-2</v>
      </c>
      <c r="E38" s="115">
        <f>-E36/('FPT Digital Retail JSC | Income'!E23-'FPT Digital Retail JSC | Income'!D23)</f>
        <v>-6.0965136489111546E-2</v>
      </c>
      <c r="F38" s="115">
        <f>-F36/('FPT Digital Retail JSC | Income'!F23-'FPT Digital Retail JSC | Income'!E23)</f>
        <v>-8.5151895180159101E-2</v>
      </c>
      <c r="G38" s="115">
        <f>-G36/('FPT Digital Retail JSC | Income'!G23-'FPT Digital Retail JSC | Income'!F23)</f>
        <v>-4.021712074210803E-2</v>
      </c>
      <c r="H38" s="115">
        <f>-H36/('FPT Digital Retail JSC | Income'!H23-'FPT Digital Retail JSC | Income'!G23)</f>
        <v>-6.6041628157064028E-3</v>
      </c>
      <c r="I38" s="115">
        <f>-I36/('FPT Digital Retail JSC | Income'!I23-'FPT Digital Retail JSC | Income'!H23)</f>
        <v>1.2126833567119116E-2</v>
      </c>
      <c r="J38" s="101">
        <f>AVERAGE(D38:I38)</f>
        <v>-2.5770254094407304E-2</v>
      </c>
      <c r="K38" s="101">
        <f t="shared" ref="K38:O38" si="8">AVERAGE(E38:J38)</f>
        <v>-3.4430289292395548E-2</v>
      </c>
      <c r="L38" s="101">
        <f t="shared" si="8"/>
        <v>-3.0007814759609546E-2</v>
      </c>
      <c r="M38" s="101">
        <f t="shared" si="8"/>
        <v>-2.0817134689517954E-2</v>
      </c>
      <c r="N38" s="101">
        <f t="shared" si="8"/>
        <v>-1.7583803680752939E-2</v>
      </c>
      <c r="O38" s="101">
        <f t="shared" si="8"/>
        <v>-1.9413743824927363E-2</v>
      </c>
    </row>
    <row r="39" spans="1:16" ht="16" thickBot="1" x14ac:dyDescent="0.25">
      <c r="A39" s="17" t="s">
        <v>80</v>
      </c>
      <c r="B39" s="18">
        <v>-756654</v>
      </c>
      <c r="C39" s="18">
        <v>256198</v>
      </c>
      <c r="D39" s="18">
        <f>'FPT Digital Retail JSC | BS'!C37-'FPT Digital Retail JSC | BS'!D37</f>
        <v>-782741</v>
      </c>
      <c r="E39" s="18">
        <f>'FPT Digital Retail JSC | BS'!D37-'FPT Digital Retail JSC | BS'!E37</f>
        <v>-877323</v>
      </c>
      <c r="F39" s="18">
        <f>'FPT Digital Retail JSC | BS'!D37-'FPT Digital Retail JSC | BS'!F37</f>
        <v>679501</v>
      </c>
      <c r="G39" s="18">
        <f>'FPT Digital Retail JSC | BS'!E37-'FPT Digital Retail JSC | BS'!G37</f>
        <v>-1546817</v>
      </c>
      <c r="H39" s="18">
        <f>'FPT Digital Retail JSC | BS'!F37-'FPT Digital Retail JSC | BS'!H37</f>
        <v>-4657110</v>
      </c>
      <c r="I39" s="18">
        <f>'FPT Digital Retail JSC | BS'!G37-'FPT Digital Retail JSC | BS'!I37</f>
        <v>-2889466.0120871011</v>
      </c>
      <c r="J39" s="18">
        <f>'FPT Digital Retail JSC | BS'!H37-'FPT Digital Retail JSC | BS'!J37</f>
        <v>-1740389.6671113083</v>
      </c>
      <c r="K39" s="18">
        <f>'FPT Digital Retail JSC | BS'!I37-'FPT Digital Retail JSC | BS'!K37</f>
        <v>-1041312.9011496659</v>
      </c>
      <c r="L39" s="18">
        <f>'FPT Digital Retail JSC | BS'!J37-'FPT Digital Retail JSC | BS'!L37</f>
        <v>-798277.72247623559</v>
      </c>
      <c r="M39" s="18">
        <f>'FPT Digital Retail JSC | BS'!K37-'FPT Digital Retail JSC | BS'!M37</f>
        <v>-330881.27594319358</v>
      </c>
      <c r="N39" s="18">
        <f>'FPT Digital Retail JSC | BS'!L37-'FPT Digital Retail JSC | BS'!N37</f>
        <v>-626976.15076924488</v>
      </c>
      <c r="O39" s="18">
        <f>'FPT Digital Retail JSC | BS'!M37-'FPT Digital Retail JSC | BS'!O37</f>
        <v>9192019.1891799606</v>
      </c>
    </row>
    <row r="40" spans="1:16" ht="16" thickBot="1" x14ac:dyDescent="0.25">
      <c r="A40" s="17" t="s">
        <v>81</v>
      </c>
      <c r="B40" s="18">
        <v>-9167</v>
      </c>
      <c r="C40" s="18">
        <v>-9282</v>
      </c>
      <c r="D40" s="18">
        <v>-17223</v>
      </c>
      <c r="E40" s="18">
        <v>-68023</v>
      </c>
      <c r="F40" s="18">
        <v>-68023</v>
      </c>
      <c r="G40" s="18">
        <v>8228</v>
      </c>
      <c r="H40" s="18">
        <v>-40582</v>
      </c>
      <c r="I40" s="18">
        <v>-226194</v>
      </c>
      <c r="J40" s="63">
        <f>AVERAGE(D40:I40)</f>
        <v>-68636.166666666672</v>
      </c>
      <c r="K40" s="63">
        <f>AVERAGE(E40:I40)</f>
        <v>-78918.8</v>
      </c>
      <c r="L40" s="63">
        <f>AVERAGE(F40:I40)</f>
        <v>-81642.75</v>
      </c>
      <c r="M40" s="63">
        <f>AVERAGE(G40:I40)</f>
        <v>-86182.666666666672</v>
      </c>
      <c r="N40" s="63">
        <f>AVERAGE(H40:I40)</f>
        <v>-133388</v>
      </c>
      <c r="O40" s="63">
        <f>AVERAGE(I40:I40)</f>
        <v>-226194</v>
      </c>
    </row>
    <row r="41" spans="1:16" ht="16" hidden="1" thickBot="1" x14ac:dyDescent="0.25">
      <c r="A41" s="17" t="s">
        <v>82</v>
      </c>
      <c r="B41" s="18">
        <v>1117290</v>
      </c>
      <c r="C41" s="18">
        <v>126774</v>
      </c>
      <c r="D41" s="18">
        <f>'FPT Digital Retail JSC | BS'!D75</f>
        <v>-793137</v>
      </c>
      <c r="E41" s="18">
        <f>'FPT Digital Retail JSC | BS'!E75</f>
        <v>581630</v>
      </c>
      <c r="F41" s="18">
        <f>'FPT Digital Retail JSC | BS'!F75</f>
        <v>-72732</v>
      </c>
      <c r="G41" s="18">
        <f>'FPT Digital Retail JSC | BS'!G75</f>
        <v>1120953</v>
      </c>
      <c r="H41" s="18">
        <f>'FPT Digital Retail JSC | BS'!H75</f>
        <v>-28387</v>
      </c>
      <c r="I41" s="18">
        <f>'FPT Digital Retail JSC | BS'!I75</f>
        <v>896119.50800029514</v>
      </c>
      <c r="J41" s="18">
        <f>'FPT Digital Retail JSC | BS'!I75</f>
        <v>896119.50800029514</v>
      </c>
      <c r="K41" s="18">
        <f>'FPT Digital Retail JSC | BS'!J75</f>
        <v>26129.335800995585</v>
      </c>
      <c r="L41" s="18">
        <f>'FPT Digital Retail JSC | BS'!K75</f>
        <v>491761.97214640817</v>
      </c>
      <c r="M41" s="18">
        <f>'FPT Digital Retail JSC | BS'!L75</f>
        <v>362047.51560406387</v>
      </c>
      <c r="N41" s="18">
        <f>'FPT Digital Retail JSC | BS'!M75</f>
        <v>292752.99940753123</v>
      </c>
      <c r="O41" s="18">
        <f>'FPT Digital Retail JSC | BS'!N75</f>
        <v>202628.52897122782</v>
      </c>
      <c r="P41" s="18"/>
    </row>
    <row r="42" spans="1:16" s="55" customFormat="1" ht="16" thickBot="1" x14ac:dyDescent="0.25">
      <c r="A42" s="123" t="s">
        <v>82</v>
      </c>
      <c r="B42" s="54">
        <v>1117290</v>
      </c>
      <c r="C42" s="54">
        <v>126774</v>
      </c>
      <c r="D42" s="54">
        <v>-849890</v>
      </c>
      <c r="E42" s="54">
        <v>554572</v>
      </c>
      <c r="F42" s="54">
        <v>554572</v>
      </c>
      <c r="G42" s="54">
        <v>65447</v>
      </c>
      <c r="H42" s="54">
        <v>1353541</v>
      </c>
      <c r="I42" s="54">
        <v>36246</v>
      </c>
      <c r="J42" s="126">
        <f>I42*(1+J43)</f>
        <v>42988.74623747373</v>
      </c>
      <c r="K42" s="126">
        <f t="shared" ref="K42:O42" si="9">J42*(1+K43)</f>
        <v>49399.027395045618</v>
      </c>
      <c r="L42" s="126">
        <f t="shared" si="9"/>
        <v>56765.179754167024</v>
      </c>
      <c r="M42" s="126">
        <f t="shared" si="9"/>
        <v>62712.202484676396</v>
      </c>
      <c r="N42" s="126">
        <f t="shared" si="9"/>
        <v>70724.065767226159</v>
      </c>
      <c r="O42" s="126">
        <f t="shared" si="9"/>
        <v>79228.688066610237</v>
      </c>
    </row>
    <row r="43" spans="1:16" s="55" customFormat="1" ht="16" hidden="1" thickBot="1" x14ac:dyDescent="0.25">
      <c r="A43" s="124" t="s">
        <v>634</v>
      </c>
      <c r="B43" s="54"/>
      <c r="C43" s="54"/>
      <c r="D43" s="115">
        <f>-D42/('FPT Digital Retail JSC | Income'!D23-'FPT Digital Retail JSC | Income'!C23)</f>
        <v>0.3705872606132487</v>
      </c>
      <c r="E43" s="54"/>
      <c r="F43" s="113">
        <f>F42/('Revenue breakdown'!C3-'Revenue breakdown'!B3)</f>
        <v>0.41521534861956011</v>
      </c>
      <c r="G43" s="113">
        <f>G42/('Revenue breakdown'!D3-'Revenue breakdown'!C3)</f>
        <v>-3.3178997872289728E-2</v>
      </c>
      <c r="H43" s="113">
        <f>H42/('Revenue breakdown'!E3-'Revenue breakdown'!D3)</f>
        <v>0.1727878211956172</v>
      </c>
      <c r="I43" s="115">
        <f>I42/('Revenue breakdown'!F3-'Revenue breakdown'!E3)</f>
        <v>4.7251669960525836E-3</v>
      </c>
      <c r="J43" s="125">
        <f>AVERAGE(D43:I43)</f>
        <v>0.18602731991043778</v>
      </c>
      <c r="K43" s="125">
        <f t="shared" ref="K43:O43" si="10">AVERAGE(E43:J43)</f>
        <v>0.1491153317698756</v>
      </c>
      <c r="L43" s="125">
        <f t="shared" si="10"/>
        <v>0.1491153317698756</v>
      </c>
      <c r="M43" s="125">
        <f t="shared" si="10"/>
        <v>0.10476532896159484</v>
      </c>
      <c r="N43" s="125">
        <f t="shared" si="10"/>
        <v>0.12775605010057559</v>
      </c>
      <c r="O43" s="125">
        <f t="shared" si="10"/>
        <v>0.12025075491806865</v>
      </c>
    </row>
    <row r="44" spans="1:16" ht="16" thickBot="1" x14ac:dyDescent="0.25">
      <c r="A44" s="17" t="s">
        <v>83</v>
      </c>
      <c r="B44" s="18">
        <v>-118877</v>
      </c>
      <c r="C44" s="18">
        <v>-146398</v>
      </c>
      <c r="D44" s="18">
        <v>-191702</v>
      </c>
      <c r="E44" s="18">
        <v>-216538</v>
      </c>
      <c r="F44" s="18">
        <v>-216538</v>
      </c>
      <c r="G44" s="18">
        <v>-143899</v>
      </c>
      <c r="H44" s="18">
        <v>-213516</v>
      </c>
      <c r="I44" s="18">
        <v>-355188</v>
      </c>
      <c r="J44" s="18">
        <f>AVERAGE(D44:I44)</f>
        <v>-222896.83333333334</v>
      </c>
      <c r="K44" s="18">
        <f t="shared" ref="K44:O44" si="11">AVERAGE(E44:J44)</f>
        <v>-228095.97222222222</v>
      </c>
      <c r="L44" s="18">
        <f t="shared" si="11"/>
        <v>-230022.30092592593</v>
      </c>
      <c r="M44" s="18">
        <f t="shared" si="11"/>
        <v>-232269.68441358022</v>
      </c>
      <c r="N44" s="18">
        <f t="shared" si="11"/>
        <v>-246998.13181584363</v>
      </c>
      <c r="O44" s="18">
        <f t="shared" si="11"/>
        <v>-252578.48711848422</v>
      </c>
    </row>
    <row r="45" spans="1:16" x14ac:dyDescent="0.2">
      <c r="A45" s="13" t="s">
        <v>84</v>
      </c>
      <c r="B45" s="14">
        <v>240830</v>
      </c>
      <c r="C45" s="14">
        <v>178859</v>
      </c>
      <c r="D45" s="14">
        <v>-1386736</v>
      </c>
      <c r="E45" s="14">
        <v>-108197</v>
      </c>
      <c r="F45" s="14">
        <v>-125651</v>
      </c>
      <c r="G45" s="14">
        <v>1518333</v>
      </c>
      <c r="H45" s="14">
        <v>-1474353</v>
      </c>
      <c r="I45" s="14">
        <v>-1507692</v>
      </c>
      <c r="J45" s="14"/>
      <c r="K45" s="14"/>
      <c r="L45" s="14"/>
      <c r="M45" s="14"/>
      <c r="N45" s="14"/>
      <c r="O45" s="14"/>
    </row>
    <row r="46" spans="1:16" ht="12" customHeight="1" thickBot="1" x14ac:dyDescent="0.25">
      <c r="A46" s="12" t="s">
        <v>85</v>
      </c>
      <c r="B46" s="12"/>
      <c r="C46" s="12"/>
      <c r="D46" s="110"/>
      <c r="E46" s="110"/>
      <c r="F46" s="110"/>
      <c r="G46" s="110"/>
      <c r="H46" s="110"/>
      <c r="I46" s="110"/>
      <c r="J46" s="12"/>
      <c r="K46" s="12"/>
      <c r="L46" s="12"/>
      <c r="M46" s="12"/>
      <c r="N46" s="12"/>
      <c r="O46" s="12"/>
    </row>
    <row r="47" spans="1:16" s="55" customFormat="1" ht="16" thickBot="1" x14ac:dyDescent="0.25">
      <c r="A47" s="53" t="s">
        <v>86</v>
      </c>
      <c r="B47" s="54">
        <v>-95659</v>
      </c>
      <c r="C47" s="54">
        <v>-51705</v>
      </c>
      <c r="D47" s="54">
        <f>SUM(D51:D52)</f>
        <v>-74</v>
      </c>
      <c r="E47" s="54">
        <f t="shared" ref="E47:I47" si="12">SUM(E51:E52)</f>
        <v>-3816</v>
      </c>
      <c r="F47" s="54">
        <f t="shared" si="12"/>
        <v>-3816</v>
      </c>
      <c r="G47" s="54">
        <f t="shared" si="12"/>
        <v>-3429</v>
      </c>
      <c r="H47" s="54">
        <f t="shared" si="12"/>
        <v>-2088</v>
      </c>
      <c r="I47" s="54">
        <f t="shared" si="12"/>
        <v>-518167</v>
      </c>
      <c r="J47" s="54">
        <f>SUM(J51:J52) - 242646</f>
        <v>-359049.10207620118</v>
      </c>
      <c r="K47" s="54">
        <f t="shared" ref="K47:O47" si="13">SUM(K51:K52)</f>
        <v>-50511.967790634051</v>
      </c>
      <c r="L47" s="54">
        <f t="shared" si="13"/>
        <v>-58165.236570548746</v>
      </c>
      <c r="M47" s="54">
        <f t="shared" si="13"/>
        <v>-77160.29286590188</v>
      </c>
      <c r="N47" s="54">
        <f t="shared" si="13"/>
        <v>-68362.674619058584</v>
      </c>
      <c r="O47" s="54">
        <f t="shared" si="13"/>
        <v>-115444.171077187</v>
      </c>
    </row>
    <row r="48" spans="1:16" s="55" customFormat="1" ht="16" thickBot="1" x14ac:dyDescent="0.25">
      <c r="A48" s="112" t="s">
        <v>628</v>
      </c>
      <c r="B48" s="54"/>
      <c r="C48" s="54"/>
      <c r="D48" s="120">
        <f>-D47/('FPT Digital Retail JSC | Income'!C23-'FPT Digital Retail JSC | Income'!B23)</f>
        <v>6.8182938509585465E-6</v>
      </c>
      <c r="E48" s="120">
        <f>-E47/('FPT Digital Retail JSC | Income'!D23-'FPT Digital Retail JSC | Income'!C23)</f>
        <v>1.6639341403006942E-3</v>
      </c>
      <c r="F48" s="120">
        <f>-F47/('FPT Digital Retail JSC | Income'!D23-'FPT Digital Retail JSC | Income'!C23)</f>
        <v>1.6639341403006942E-3</v>
      </c>
      <c r="G48" s="120">
        <f>-G47/('FPT Digital Retail JSC | Income'!E23-'FPT Digital Retail JSC | Income'!D23)</f>
        <v>1.5935347752135402E-3</v>
      </c>
      <c r="H48" s="120">
        <f>-H47/('FPT Digital Retail JSC | Income'!F23-'FPT Digital Retail JSC | Income'!E23)</f>
        <v>1.5633130556855406E-3</v>
      </c>
      <c r="I48" s="120">
        <f>-I47/('FPT Digital Retail JSC | Income'!G23-'FPT Digital Retail JSC | Income'!F23)</f>
        <v>-0.26268983743320173</v>
      </c>
      <c r="J48" s="120"/>
      <c r="K48" s="120"/>
      <c r="L48" s="120"/>
      <c r="M48" s="120"/>
      <c r="N48" s="120"/>
      <c r="O48" s="120"/>
    </row>
    <row r="49" spans="1:15" s="55" customFormat="1" ht="16" thickBot="1" x14ac:dyDescent="0.25">
      <c r="A49" s="112" t="s">
        <v>86</v>
      </c>
      <c r="B49" s="54"/>
      <c r="C49" s="54"/>
      <c r="D49" s="121">
        <v>-74</v>
      </c>
      <c r="E49" s="121">
        <v>-3816</v>
      </c>
      <c r="F49" s="121">
        <v>-3816</v>
      </c>
      <c r="G49" s="121">
        <v>-3429</v>
      </c>
      <c r="H49" s="121">
        <v>-2088</v>
      </c>
      <c r="I49" s="121">
        <v>-518167</v>
      </c>
      <c r="J49" s="135">
        <f>J50*'Revenue breakdown'!G3</f>
        <v>-90942.79239619647</v>
      </c>
      <c r="K49" s="135">
        <f>K50*'Revenue breakdown'!H3</f>
        <v>-113885.9356931043</v>
      </c>
      <c r="L49" s="135">
        <f>L50*'Revenue breakdown'!I3</f>
        <v>-141579.8548995794</v>
      </c>
      <c r="M49" s="135">
        <f>M50*'Revenue breakdown'!J3</f>
        <v>-176901.71295042269</v>
      </c>
      <c r="N49" s="135">
        <f>N50*'Revenue breakdown'!K3</f>
        <v>-219038.2455262162</v>
      </c>
      <c r="O49" s="135">
        <f>O50*'Revenue breakdown'!L3</f>
        <v>-276908.71376816614</v>
      </c>
    </row>
    <row r="50" spans="1:15" s="55" customFormat="1" ht="16" thickBot="1" x14ac:dyDescent="0.25">
      <c r="A50" s="112" t="s">
        <v>624</v>
      </c>
      <c r="B50" s="54"/>
      <c r="C50" s="54"/>
      <c r="D50" s="117">
        <f>D49/'Revenue breakdown'!B3</f>
        <v>-4.8371277004981264E-6</v>
      </c>
      <c r="E50" s="117">
        <f>E49/'Revenue breakdown'!C3</f>
        <v>-2.2941019456581595E-4</v>
      </c>
      <c r="F50" s="117">
        <f>F49/'Revenue breakdown'!D3</f>
        <v>-2.6027497887823531E-4</v>
      </c>
      <c r="G50" s="117">
        <f>G49/'Revenue breakdown'!E3</f>
        <v>-1.5243413847216717E-4</v>
      </c>
      <c r="H50" s="117">
        <f>H49/'Revenue breakdown'!F3</f>
        <v>-6.9217455886551801E-5</v>
      </c>
      <c r="I50" s="117">
        <f>I49/'Revenue breakdown'!G3</f>
        <v>-1.3499490530890905E-2</v>
      </c>
      <c r="J50" s="114">
        <f>AVERAGE(D50:I50)</f>
        <v>-2.3692774043990289E-3</v>
      </c>
      <c r="K50" s="114">
        <f t="shared" ref="K50:O50" si="14">AVERAGE(E50:J50)</f>
        <v>-2.763350783848784E-3</v>
      </c>
      <c r="L50" s="114">
        <f t="shared" si="14"/>
        <v>-3.1856742153959458E-3</v>
      </c>
      <c r="M50" s="114">
        <f t="shared" si="14"/>
        <v>-3.6732407548155637E-3</v>
      </c>
      <c r="N50" s="114">
        <f t="shared" si="14"/>
        <v>-4.2600418575394631E-3</v>
      </c>
      <c r="O50" s="114">
        <f t="shared" si="14"/>
        <v>-4.9585125911482814E-3</v>
      </c>
    </row>
    <row r="51" spans="1:15" s="55" customFormat="1" ht="16" thickBot="1" x14ac:dyDescent="0.25">
      <c r="A51" s="112" t="s">
        <v>632</v>
      </c>
      <c r="B51" s="54"/>
      <c r="C51" s="54"/>
      <c r="D51" s="122">
        <f>D56*'Revenue breakdown'!B27</f>
        <v>-70.056838365896979</v>
      </c>
      <c r="E51" s="122">
        <f>E56*'Revenue breakdown'!C27</f>
        <v>-3423.431164901664</v>
      </c>
      <c r="F51" s="122">
        <f>F56*'Revenue breakdown'!C27</f>
        <v>-3423.431164901664</v>
      </c>
      <c r="G51" s="122">
        <f>G56*'Revenue breakdown'!D27</f>
        <v>-2566.3584905660377</v>
      </c>
      <c r="H51" s="122">
        <f>H56*'Revenue breakdown'!E27</f>
        <v>-1290.2922636103151</v>
      </c>
      <c r="I51" s="122">
        <f>I56*'Revenue breakdown'!F27</f>
        <v>-228039.90033594627</v>
      </c>
      <c r="J51" s="54">
        <f>-J53*('Revenue breakdown'!G6-'Revenue breakdown'!F6)</f>
        <v>-53109.74309662218</v>
      </c>
      <c r="K51" s="54">
        <f>-K53*('Revenue breakdown'!H6-'Revenue breakdown'!G6)</f>
        <v>-25737.688844198361</v>
      </c>
      <c r="L51" s="54">
        <f>-L53*('Revenue breakdown'!I6-'Revenue breakdown'!H6)</f>
        <v>-30380.882732121128</v>
      </c>
      <c r="M51" s="54">
        <f>-M53*('Revenue breakdown'!J6-'Revenue breakdown'!I6)</f>
        <v>-41729.062840189312</v>
      </c>
      <c r="N51" s="54">
        <f>-N53*('Revenue breakdown'!K6-'Revenue breakdown'!J6)</f>
        <v>-22557.942176954508</v>
      </c>
      <c r="O51" s="54">
        <f>-O53*('Revenue breakdown'!L6-'Revenue breakdown'!K6)</f>
        <v>-55652.743108081653</v>
      </c>
    </row>
    <row r="52" spans="1:15" s="55" customFormat="1" ht="16" thickBot="1" x14ac:dyDescent="0.25">
      <c r="A52" s="112" t="s">
        <v>633</v>
      </c>
      <c r="B52" s="54"/>
      <c r="C52" s="54"/>
      <c r="D52" s="122">
        <f>D56*'Revenue breakdown'!B28</f>
        <v>-3.9431616341030193</v>
      </c>
      <c r="E52" s="122">
        <f>E56*'Revenue breakdown'!C28</f>
        <v>-392.56883509833585</v>
      </c>
      <c r="F52" s="122">
        <f>F56*'Revenue breakdown'!C28</f>
        <v>-392.56883509833585</v>
      </c>
      <c r="G52" s="122">
        <f>G56*'Revenue breakdown'!D28</f>
        <v>-862.64150943396226</v>
      </c>
      <c r="H52" s="122">
        <f>H56*'Revenue breakdown'!E28</f>
        <v>-797.70773638968478</v>
      </c>
      <c r="I52" s="122">
        <f>I56*'Revenue breakdown'!F28</f>
        <v>-290127.09966405376</v>
      </c>
      <c r="J52" s="54">
        <f>-J54*('Revenue breakdown'!G12-'Revenue breakdown'!F12)</f>
        <v>-63293.35897957901</v>
      </c>
      <c r="K52" s="54">
        <f>-K54*('Revenue breakdown'!H12-'Revenue breakdown'!G12)</f>
        <v>-24774.278946435694</v>
      </c>
      <c r="L52" s="54">
        <f>-L54*('Revenue breakdown'!I12-'Revenue breakdown'!H12)</f>
        <v>-27784.353838427622</v>
      </c>
      <c r="M52" s="54">
        <f>-M54*('Revenue breakdown'!J12-'Revenue breakdown'!I12)</f>
        <v>-35431.230025712568</v>
      </c>
      <c r="N52" s="54">
        <f>-N54*('Revenue breakdown'!K12-'Revenue breakdown'!J12)</f>
        <v>-45804.732442104068</v>
      </c>
      <c r="O52" s="54">
        <f>-O54*('Revenue breakdown'!L12-'Revenue breakdown'!K12)</f>
        <v>-59791.427969105353</v>
      </c>
    </row>
    <row r="53" spans="1:15" s="55" customFormat="1" ht="16" thickBot="1" x14ac:dyDescent="0.25">
      <c r="A53" s="112" t="s">
        <v>628</v>
      </c>
      <c r="B53" s="54"/>
      <c r="C53" s="54"/>
      <c r="D53" s="119">
        <f>-D51/('FPT Digital Retail JSC | Income'!E23-'FPT Digital Retail JSC | Income'!D23)*'Revenue breakdown'!B8</f>
        <v>3.1822807398046527E-5</v>
      </c>
      <c r="E53" s="122"/>
      <c r="F53" s="120">
        <f>-F51/('Revenue breakdown'!C6-'Revenue breakdown'!B6)</f>
        <v>4.1505241330542387E-3</v>
      </c>
      <c r="G53" s="120">
        <f>-G51/('Revenue breakdown'!D6-'Revenue breakdown'!C6)</f>
        <v>-9.6937032236165375E-4</v>
      </c>
      <c r="H53" s="120">
        <f>-H51/('Revenue breakdown'!E6-'Revenue breakdown'!D6)</f>
        <v>2.5387679721969791E-4</v>
      </c>
      <c r="I53" s="120">
        <f>-I51/('Revenue breakdown'!F6-'Revenue breakdown'!E6)</f>
        <v>0.10702350272437272</v>
      </c>
      <c r="J53" s="118">
        <f>AVERAGE(D53:I53)</f>
        <v>2.2098071227936611E-2</v>
      </c>
      <c r="K53" s="118">
        <f>AVERAGE(E53:J53)</f>
        <v>2.6511320912044323E-2</v>
      </c>
      <c r="L53" s="118">
        <f t="shared" ref="L53:N53" si="15">AVERAGE(F53:K53)</f>
        <v>2.6511320912044323E-2</v>
      </c>
      <c r="M53" s="118">
        <f t="shared" si="15"/>
        <v>3.0238120375209343E-2</v>
      </c>
      <c r="N53" s="118">
        <f t="shared" si="15"/>
        <v>3.5439368824804508E-2</v>
      </c>
      <c r="O53" s="118">
        <f>N53*(1+'Revenue breakdown'!L7)</f>
        <v>3.7377513244850176E-2</v>
      </c>
    </row>
    <row r="54" spans="1:15" s="55" customFormat="1" ht="16" thickBot="1" x14ac:dyDescent="0.25">
      <c r="A54" s="112" t="s">
        <v>634</v>
      </c>
      <c r="B54" s="54"/>
      <c r="C54" s="54"/>
      <c r="D54" s="119">
        <f>-D51/('FPT Digital Retail JSC | Income'!E23-'FPT Digital Retail JSC | Income'!D23)*'Revenue breakdown'!B15</f>
        <v>7.3420869340023829E-7</v>
      </c>
      <c r="E54" s="122"/>
      <c r="F54" s="120">
        <f>-F52/('Revenue breakdown'!C12-'Revenue breakdown'!B12)</f>
        <v>2.3679679768030247E-3</v>
      </c>
      <c r="G54" s="120">
        <f>-G52/('Revenue breakdown'!D12-'Revenue breakdown'!C12)</f>
        <v>1.2684841262334808E-3</v>
      </c>
      <c r="H54" s="120">
        <f>-H52/('Revenue breakdown'!E12-'Revenue breakdown'!D12)</f>
        <v>2.8629149567451184E-4</v>
      </c>
      <c r="I54" s="120">
        <f>-I52/('Revenue breakdown'!F12-'Revenue breakdown'!E12)</f>
        <v>5.1635487096259022E-2</v>
      </c>
      <c r="J54" s="116">
        <f>AVERAGE(D54:I54)</f>
        <v>1.1111792980732688E-2</v>
      </c>
      <c r="K54" s="116">
        <f t="shared" ref="K54:O54" si="16">AVERAGE(E54:J54)</f>
        <v>1.3334004735140546E-2</v>
      </c>
      <c r="L54" s="116">
        <f t="shared" si="16"/>
        <v>1.3334004735140544E-2</v>
      </c>
      <c r="M54" s="116">
        <f t="shared" si="16"/>
        <v>1.5161677528196797E-2</v>
      </c>
      <c r="N54" s="116">
        <f t="shared" si="16"/>
        <v>1.7477209761857349E-2</v>
      </c>
      <c r="O54" s="116">
        <f t="shared" si="16"/>
        <v>2.0342362806221159E-2</v>
      </c>
    </row>
    <row r="55" spans="1:15" s="55" customFormat="1" ht="16" thickBot="1" x14ac:dyDescent="0.25">
      <c r="A55" s="112"/>
      <c r="B55" s="54"/>
      <c r="C55" s="54"/>
      <c r="D55" s="119"/>
      <c r="E55" s="122"/>
      <c r="F55" s="120"/>
      <c r="G55" s="120"/>
      <c r="H55" s="120"/>
      <c r="I55" s="120"/>
      <c r="J55" s="184"/>
      <c r="K55" s="116"/>
      <c r="L55" s="116"/>
      <c r="M55" s="116"/>
      <c r="N55" s="116"/>
      <c r="O55" s="116"/>
    </row>
    <row r="56" spans="1:15" ht="16" thickBot="1" x14ac:dyDescent="0.25">
      <c r="A56" s="17" t="s">
        <v>87</v>
      </c>
      <c r="B56" s="18">
        <v>-95659</v>
      </c>
      <c r="C56" s="18">
        <v>-51705</v>
      </c>
      <c r="D56" s="18">
        <v>-74</v>
      </c>
      <c r="E56" s="18">
        <v>-3816</v>
      </c>
      <c r="F56" s="18">
        <v>-3816</v>
      </c>
      <c r="G56" s="18">
        <v>-3429</v>
      </c>
      <c r="H56" s="18">
        <v>-2088</v>
      </c>
      <c r="I56" s="18">
        <v>-518167</v>
      </c>
      <c r="J56" s="18"/>
      <c r="K56" s="18"/>
      <c r="L56" s="18"/>
      <c r="M56" s="18"/>
      <c r="N56" s="18"/>
      <c r="O56" s="18"/>
    </row>
    <row r="57" spans="1:15" ht="16" thickBot="1" x14ac:dyDescent="0.25">
      <c r="A57" s="15" t="s">
        <v>88</v>
      </c>
      <c r="B57" s="16">
        <v>-231512</v>
      </c>
      <c r="C57" s="16">
        <v>314986</v>
      </c>
      <c r="D57" s="16">
        <v>-104537</v>
      </c>
      <c r="E57" s="16">
        <v>-643173</v>
      </c>
      <c r="F57" s="16">
        <v>-643173</v>
      </c>
      <c r="G57" s="16">
        <v>-392833</v>
      </c>
      <c r="H57" s="16">
        <v>-1684043</v>
      </c>
      <c r="I57" s="16">
        <v>2378251</v>
      </c>
      <c r="J57" s="16"/>
      <c r="K57" s="16"/>
      <c r="L57" s="16"/>
      <c r="M57" s="16"/>
      <c r="N57" s="16"/>
      <c r="O57" s="16"/>
    </row>
    <row r="58" spans="1:15" ht="16" thickBot="1" x14ac:dyDescent="0.25">
      <c r="A58" s="17" t="s">
        <v>89</v>
      </c>
      <c r="B58" s="18" t="s">
        <v>72</v>
      </c>
      <c r="C58" s="18" t="s">
        <v>72</v>
      </c>
      <c r="D58" s="18" t="s">
        <v>72</v>
      </c>
      <c r="E58" s="18" t="s">
        <v>72</v>
      </c>
      <c r="F58" s="18" t="s">
        <v>72</v>
      </c>
      <c r="G58" s="18" t="s">
        <v>72</v>
      </c>
      <c r="H58" s="18" t="s">
        <v>72</v>
      </c>
      <c r="I58" s="18">
        <v>239</v>
      </c>
      <c r="J58" s="18"/>
      <c r="K58" s="18"/>
      <c r="L58" s="18"/>
      <c r="M58" s="18"/>
      <c r="N58" s="18"/>
      <c r="O58" s="18"/>
    </row>
    <row r="59" spans="1:15" ht="16" thickBot="1" x14ac:dyDescent="0.25">
      <c r="A59" s="17" t="s">
        <v>90</v>
      </c>
      <c r="B59" s="18">
        <v>115000</v>
      </c>
      <c r="C59" s="18">
        <v>1045300</v>
      </c>
      <c r="D59" s="18" t="s">
        <v>72</v>
      </c>
      <c r="E59" s="18">
        <v>628647</v>
      </c>
      <c r="F59" s="18">
        <v>628647</v>
      </c>
      <c r="G59" s="18">
        <v>1098826</v>
      </c>
      <c r="H59" s="18">
        <v>11185095</v>
      </c>
      <c r="I59" s="18">
        <v>9161500</v>
      </c>
      <c r="J59" s="18"/>
      <c r="K59" s="18"/>
      <c r="L59" s="18"/>
      <c r="M59" s="18"/>
      <c r="N59" s="18"/>
      <c r="O59" s="18"/>
    </row>
    <row r="60" spans="1:15" ht="16" thickBot="1" x14ac:dyDescent="0.25">
      <c r="A60" s="17" t="s">
        <v>91</v>
      </c>
      <c r="B60" s="18">
        <v>-397500</v>
      </c>
      <c r="C60" s="18">
        <v>-765000</v>
      </c>
      <c r="D60" s="18">
        <v>-124499</v>
      </c>
      <c r="E60" s="18">
        <v>-1321150</v>
      </c>
      <c r="F60" s="18">
        <v>-1321150</v>
      </c>
      <c r="G60" s="18">
        <v>-1549982</v>
      </c>
      <c r="H60" s="18">
        <v>-13013064</v>
      </c>
      <c r="I60" s="18">
        <v>-6942462</v>
      </c>
      <c r="J60" s="18"/>
      <c r="K60" s="18"/>
      <c r="L60" s="18"/>
      <c r="M60" s="18"/>
      <c r="N60" s="18"/>
      <c r="O60" s="18"/>
    </row>
    <row r="61" spans="1:15" ht="16" thickBot="1" x14ac:dyDescent="0.25">
      <c r="A61" s="17" t="s">
        <v>92</v>
      </c>
      <c r="B61" s="18">
        <v>50988</v>
      </c>
      <c r="C61" s="18">
        <v>34686</v>
      </c>
      <c r="D61" s="18">
        <v>19962</v>
      </c>
      <c r="E61" s="18">
        <v>49330</v>
      </c>
      <c r="F61" s="18">
        <v>49330</v>
      </c>
      <c r="G61" s="18">
        <v>58324</v>
      </c>
      <c r="H61" s="18">
        <v>143927</v>
      </c>
      <c r="I61" s="18">
        <v>158974</v>
      </c>
      <c r="J61" s="18"/>
      <c r="K61" s="18"/>
      <c r="L61" s="18"/>
      <c r="M61" s="18"/>
      <c r="N61" s="18"/>
      <c r="O61" s="18"/>
    </row>
    <row r="62" spans="1:15" ht="16" thickBot="1" x14ac:dyDescent="0.25">
      <c r="A62" s="13" t="s">
        <v>93</v>
      </c>
      <c r="B62" s="14">
        <v>-327171</v>
      </c>
      <c r="C62" s="14">
        <v>263281</v>
      </c>
      <c r="D62" s="14">
        <v>-104612</v>
      </c>
      <c r="E62" s="14">
        <v>-646989</v>
      </c>
      <c r="F62" s="14">
        <v>-646989</v>
      </c>
      <c r="G62" s="14">
        <v>-396262</v>
      </c>
      <c r="H62" s="14">
        <v>-1686131</v>
      </c>
      <c r="I62" s="14">
        <v>1860084</v>
      </c>
      <c r="J62" s="14"/>
      <c r="K62" s="14"/>
      <c r="L62" s="14"/>
      <c r="M62" s="14"/>
      <c r="N62" s="14"/>
      <c r="O62" s="14"/>
    </row>
    <row r="63" spans="1:15" x14ac:dyDescent="0.2">
      <c r="A63" s="19"/>
      <c r="B63" s="19"/>
      <c r="C63" s="19"/>
      <c r="D63" s="109"/>
      <c r="E63" s="104">
        <f>-E47/'FPT Digital Retail JSC | Income'!E23</f>
        <v>2.4943890952838988E-4</v>
      </c>
      <c r="F63" s="104">
        <f>-F47/'FPT Digital Retail JSC | Income'!F23</f>
        <v>2.2941019456581595E-4</v>
      </c>
      <c r="G63" s="104">
        <f>-G47/'FPT Digital Retail JSC | Income'!G23</f>
        <v>2.3387916734105577E-4</v>
      </c>
      <c r="H63" s="104">
        <f>-H47/'FPT Digital Retail JSC | Income'!H23</f>
        <v>9.2820787731083415E-5</v>
      </c>
      <c r="I63" s="104">
        <f>-I47/'FPT Digital Retail JSC | Income'!I23</f>
        <v>1.7177299551899849E-2</v>
      </c>
      <c r="J63" s="19"/>
      <c r="K63" s="19"/>
      <c r="L63" s="19"/>
      <c r="M63" s="19"/>
      <c r="N63" s="19"/>
      <c r="O63" s="19"/>
    </row>
    <row r="64" spans="1:15" ht="12" customHeight="1" thickBot="1" x14ac:dyDescent="0.25">
      <c r="A64" s="12" t="s">
        <v>94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16" thickBot="1" x14ac:dyDescent="0.25">
      <c r="A65" s="13" t="s">
        <v>95</v>
      </c>
      <c r="B65" s="14" t="s">
        <v>72</v>
      </c>
      <c r="C65" s="14" t="s">
        <v>72</v>
      </c>
      <c r="D65" s="14" t="s">
        <v>72</v>
      </c>
      <c r="E65" s="14" t="s">
        <v>72</v>
      </c>
      <c r="F65" s="14" t="s">
        <v>72</v>
      </c>
      <c r="G65" s="14" t="s">
        <v>72</v>
      </c>
      <c r="H65" s="14" t="s">
        <v>72</v>
      </c>
      <c r="I65" s="14" t="s">
        <v>72</v>
      </c>
      <c r="J65" s="14"/>
      <c r="K65" s="14"/>
      <c r="L65" s="14"/>
      <c r="M65" s="14"/>
      <c r="N65" s="14"/>
      <c r="O65" s="14"/>
    </row>
    <row r="66" spans="1:15" ht="16" thickBot="1" x14ac:dyDescent="0.25">
      <c r="A66" s="15" t="s">
        <v>96</v>
      </c>
      <c r="B66" s="16" t="s">
        <v>72</v>
      </c>
      <c r="C66" s="16" t="s">
        <v>72</v>
      </c>
      <c r="D66" s="16" t="s">
        <v>72</v>
      </c>
      <c r="E66" s="16">
        <v>-68680</v>
      </c>
      <c r="F66" s="16">
        <v>-68680</v>
      </c>
      <c r="G66" s="16">
        <v>-78982</v>
      </c>
      <c r="H66" s="16" t="s">
        <v>72</v>
      </c>
      <c r="I66" s="16">
        <v>-39491</v>
      </c>
      <c r="J66" s="16"/>
      <c r="K66" s="16"/>
      <c r="L66" s="16"/>
      <c r="M66" s="16"/>
      <c r="N66" s="16"/>
      <c r="O66" s="16"/>
    </row>
    <row r="67" spans="1:15" ht="16" thickBot="1" x14ac:dyDescent="0.25">
      <c r="A67" s="17" t="s">
        <v>97</v>
      </c>
      <c r="B67" s="18" t="s">
        <v>72</v>
      </c>
      <c r="C67" s="18" t="s">
        <v>72</v>
      </c>
      <c r="D67" s="18" t="s">
        <v>72</v>
      </c>
      <c r="E67" s="18">
        <v>-68680</v>
      </c>
      <c r="F67" s="18">
        <v>-68680</v>
      </c>
      <c r="G67" s="18">
        <v>-78982</v>
      </c>
      <c r="H67" s="18" t="s">
        <v>72</v>
      </c>
      <c r="I67" s="18">
        <v>-39491</v>
      </c>
      <c r="J67" s="18"/>
      <c r="K67" s="18"/>
      <c r="L67" s="18"/>
      <c r="M67" s="18"/>
      <c r="N67" s="18"/>
      <c r="O67" s="18"/>
    </row>
    <row r="68" spans="1:15" ht="16" thickBot="1" x14ac:dyDescent="0.25">
      <c r="A68" s="15" t="s">
        <v>98</v>
      </c>
      <c r="B68" s="16">
        <v>2030</v>
      </c>
      <c r="C68" s="16">
        <v>50</v>
      </c>
      <c r="D68" s="16">
        <v>25000</v>
      </c>
      <c r="E68" s="16">
        <v>-7200</v>
      </c>
      <c r="F68" s="16">
        <v>-7200</v>
      </c>
      <c r="G68" s="16">
        <v>18232</v>
      </c>
      <c r="H68" s="16">
        <v>10244</v>
      </c>
      <c r="I68" s="16">
        <v>11478</v>
      </c>
      <c r="J68" s="16"/>
      <c r="K68" s="16"/>
      <c r="L68" s="16"/>
      <c r="M68" s="16"/>
      <c r="N68" s="16"/>
      <c r="O68" s="16"/>
    </row>
    <row r="69" spans="1:15" ht="16" thickBot="1" x14ac:dyDescent="0.25">
      <c r="A69" s="17" t="s">
        <v>99</v>
      </c>
      <c r="B69" s="18">
        <v>2030</v>
      </c>
      <c r="C69" s="18">
        <v>180</v>
      </c>
      <c r="D69" s="18">
        <v>25000</v>
      </c>
      <c r="E69" s="18">
        <v>6800</v>
      </c>
      <c r="F69" s="18">
        <v>6800</v>
      </c>
      <c r="G69" s="18">
        <v>18232</v>
      </c>
      <c r="H69" s="18">
        <v>10244</v>
      </c>
      <c r="I69" s="18">
        <v>11478</v>
      </c>
      <c r="J69" s="18"/>
      <c r="K69" s="18"/>
      <c r="L69" s="18"/>
      <c r="M69" s="18"/>
      <c r="N69" s="18"/>
      <c r="O69" s="18"/>
    </row>
    <row r="70" spans="1:15" ht="16" thickBot="1" x14ac:dyDescent="0.25">
      <c r="A70" s="17" t="s">
        <v>100</v>
      </c>
      <c r="B70" s="18">
        <v>0</v>
      </c>
      <c r="C70" s="18">
        <v>-130</v>
      </c>
      <c r="D70" s="18" t="s">
        <v>72</v>
      </c>
      <c r="E70" s="18">
        <v>-14000</v>
      </c>
      <c r="F70" s="18">
        <v>-14000</v>
      </c>
      <c r="G70" s="18">
        <v>0</v>
      </c>
      <c r="H70" s="18" t="s">
        <v>72</v>
      </c>
      <c r="I70" s="18" t="s">
        <v>72</v>
      </c>
      <c r="J70" s="185"/>
      <c r="K70" s="185"/>
      <c r="L70" s="185"/>
      <c r="M70" s="185"/>
      <c r="N70" s="185"/>
      <c r="O70" s="185"/>
    </row>
    <row r="71" spans="1:15" ht="16" thickBot="1" x14ac:dyDescent="0.25">
      <c r="A71" s="17" t="s">
        <v>101</v>
      </c>
      <c r="B71" s="18">
        <v>2030</v>
      </c>
      <c r="C71" s="18">
        <v>50</v>
      </c>
      <c r="D71" s="18">
        <v>25000</v>
      </c>
      <c r="E71" s="18">
        <v>-7200</v>
      </c>
      <c r="F71" s="18">
        <v>-7200</v>
      </c>
      <c r="G71" s="18">
        <v>18232</v>
      </c>
      <c r="H71" s="18">
        <v>10244</v>
      </c>
      <c r="I71" s="18">
        <v>11478</v>
      </c>
      <c r="J71" s="18">
        <f>AVERAGE(D72:I72)</f>
        <v>823185.16666666663</v>
      </c>
      <c r="K71" s="18">
        <f t="shared" ref="K71:O71" si="17">AVERAGE(E72:J72)</f>
        <v>803476.18015297328</v>
      </c>
      <c r="L71" s="18">
        <f t="shared" si="17"/>
        <v>891367.03582057741</v>
      </c>
      <c r="M71" s="18">
        <f t="shared" si="17"/>
        <v>978468.09255702968</v>
      </c>
      <c r="N71" s="18">
        <f t="shared" si="17"/>
        <v>1388615.7461842841</v>
      </c>
      <c r="O71" s="18">
        <f t="shared" si="17"/>
        <v>1173612.5193078527</v>
      </c>
    </row>
    <row r="72" spans="1:15" s="55" customFormat="1" ht="16" thickBot="1" x14ac:dyDescent="0.25">
      <c r="A72" s="53" t="s">
        <v>102</v>
      </c>
      <c r="B72" s="54">
        <v>753126</v>
      </c>
      <c r="C72" s="54">
        <v>-1261621</v>
      </c>
      <c r="D72" s="54">
        <v>1776650</v>
      </c>
      <c r="E72" s="54">
        <v>752337</v>
      </c>
      <c r="F72" s="54">
        <v>752337</v>
      </c>
      <c r="G72" s="54">
        <v>-1212087</v>
      </c>
      <c r="H72" s="54">
        <v>3553949</v>
      </c>
      <c r="I72" s="54">
        <v>-684075</v>
      </c>
      <c r="J72" s="135">
        <f>J74*'Revenue breakdown'!G3</f>
        <v>1658396.0809178401</v>
      </c>
      <c r="K72" s="135">
        <f>K74*'Revenue breakdown'!H3</f>
        <v>1279682.134005625</v>
      </c>
      <c r="L72" s="135">
        <f>L74*'Revenue breakdown'!I3</f>
        <v>1274943.3404187132</v>
      </c>
      <c r="M72" s="135">
        <f>M74*'Revenue breakdown'!J3</f>
        <v>1248798.9217635267</v>
      </c>
      <c r="N72" s="135">
        <f>N74*'Revenue breakdown'!K3</f>
        <v>2263929.6387414108</v>
      </c>
      <c r="O72" s="135">
        <f>O74*'Revenue breakdown'!L3</f>
        <v>1398241.7956005828</v>
      </c>
    </row>
    <row r="73" spans="1:15" ht="16" thickBot="1" x14ac:dyDescent="0.25">
      <c r="A73" s="105" t="s">
        <v>623</v>
      </c>
      <c r="B73" s="14"/>
      <c r="C73" s="14"/>
      <c r="D73" s="107">
        <f>D72/B72-1</f>
        <v>1.3590342120707559</v>
      </c>
      <c r="E73" s="107">
        <f t="shared" ref="E73" si="18">E72/C72-1</f>
        <v>-1.5963256794235354</v>
      </c>
      <c r="F73" s="107">
        <f t="shared" ref="F73" si="19">F72/D72-1</f>
        <v>-0.57654180620831341</v>
      </c>
      <c r="G73" s="107">
        <f>G72/E72-1</f>
        <v>-2.6110958254080288</v>
      </c>
      <c r="H73" s="107">
        <f>H72/F72-1</f>
        <v>3.7238790595172109</v>
      </c>
      <c r="I73" s="107">
        <f t="shared" ref="I73" si="20">I72/G72-1</f>
        <v>-0.43562219543646619</v>
      </c>
      <c r="J73" s="14">
        <f>J75*('FPT Digital Retail JSC | Income'!J23-'FPT Digital Retail JSC | Income'!I23)</f>
        <v>3722309.2851993577</v>
      </c>
      <c r="K73" s="14">
        <f>K75*('FPT Digital Retail JSC | Income'!K23-'FPT Digital Retail JSC | Income'!J23)</f>
        <v>1105503.667290739</v>
      </c>
      <c r="L73" s="14">
        <f>L75*('FPT Digital Retail JSC | Income'!L23-'FPT Digital Retail JSC | Income'!K23)</f>
        <v>1284334.5585914324</v>
      </c>
      <c r="M73" s="14">
        <f>M75*('FPT Digital Retail JSC | Income'!M23-'FPT Digital Retail JSC | Income'!L23)</f>
        <v>1375490.684170882</v>
      </c>
      <c r="N73" s="14">
        <f>N75*('FPT Digital Retail JSC | Income'!N23-'FPT Digital Retail JSC | Income'!M23)</f>
        <v>1072732.8380784779</v>
      </c>
      <c r="O73" s="14">
        <f>O75*('FPT Digital Retail JSC | Income'!O23-'FPT Digital Retail JSC | Income'!N23)</f>
        <v>1366544.6086779754</v>
      </c>
    </row>
    <row r="74" spans="1:15" ht="16" thickBot="1" x14ac:dyDescent="0.25">
      <c r="A74" s="105" t="s">
        <v>624</v>
      </c>
      <c r="B74" s="14"/>
      <c r="C74" s="14"/>
      <c r="D74" s="108">
        <f>D72/'FPT Digital Retail JSC | Income'!E23</f>
        <v>0.11613355309581075</v>
      </c>
      <c r="E74" s="108">
        <f>E72/'FPT Digital Retail JSC | Income'!F23</f>
        <v>4.5228977345142106E-2</v>
      </c>
      <c r="F74" s="108">
        <f>F72/'FPT Digital Retail JSC | Income'!F23</f>
        <v>4.5228977345142106E-2</v>
      </c>
      <c r="G74" s="108">
        <f>G72/'FPT Digital Retail JSC | Income'!G23</f>
        <v>-8.267188635314035E-2</v>
      </c>
      <c r="H74" s="108">
        <f>H72/'FPT Digital Retail JSC | Income'!H23</f>
        <v>0.15798867132954797</v>
      </c>
      <c r="I74" s="108">
        <f>I72/'FPT Digital Retail JSC | Income'!I23</f>
        <v>-2.2677170084096226E-2</v>
      </c>
      <c r="J74" s="106">
        <f>AVERAGE(D74:I74)</f>
        <v>4.3205187113067735E-2</v>
      </c>
      <c r="K74" s="106">
        <f t="shared" ref="K74:O75" si="21">AVERAGE(E74:J74)</f>
        <v>3.1050459449277219E-2</v>
      </c>
      <c r="L74" s="106">
        <f t="shared" si="21"/>
        <v>2.8687373133299745E-2</v>
      </c>
      <c r="M74" s="106">
        <f t="shared" si="21"/>
        <v>2.5930439097992683E-2</v>
      </c>
      <c r="N74" s="106">
        <f t="shared" si="21"/>
        <v>4.4030826673181526E-2</v>
      </c>
      <c r="O74" s="106">
        <f t="shared" si="21"/>
        <v>2.5037852563787114E-2</v>
      </c>
    </row>
    <row r="75" spans="1:15" ht="16" thickBot="1" x14ac:dyDescent="0.25">
      <c r="A75" s="105" t="s">
        <v>735</v>
      </c>
      <c r="B75" s="14"/>
      <c r="C75" s="14"/>
      <c r="D75" s="108">
        <f>D72/('FPT Digital Retail JSC | Income'!E23-'FPT Digital Retail JSC | Income'!D23)</f>
        <v>0.82564991495571194</v>
      </c>
      <c r="E75" s="108">
        <f>E72/('FPT Digital Retail JSC | Income'!E23-'FPT Digital Retail JSC | Income'!D23)</f>
        <v>0.34962822169140539</v>
      </c>
      <c r="F75" s="108">
        <f>F72/('FPT Digital Retail JSC | Income'!F23-'FPT Digital Retail JSC | Income'!E23)</f>
        <v>0.56328460458586804</v>
      </c>
      <c r="G75" s="108">
        <f>G72/('FPT Digital Retail JSC | Income'!G23-'FPT Digital Retail JSC | Income'!F23)</f>
        <v>0.61447938017067305</v>
      </c>
      <c r="H75" s="108">
        <f>H72/('FPT Digital Retail JSC | Income'!H23-'FPT Digital Retail JSC | Income'!G23)</f>
        <v>0.45368341583324229</v>
      </c>
      <c r="I75" s="108">
        <f>I72/('FPT Digital Retail JSC | Income'!I23-'FPT Digital Retail JSC | Income'!H23)</f>
        <v>-8.9178629719822086E-2</v>
      </c>
      <c r="J75" s="106">
        <f>AVERAGE(D75:I75)</f>
        <v>0.45292448458617973</v>
      </c>
      <c r="K75" s="106">
        <f t="shared" si="21"/>
        <v>0.39080357952459116</v>
      </c>
      <c r="L75" s="106">
        <f t="shared" si="21"/>
        <v>0.39766613916345533</v>
      </c>
      <c r="M75" s="106">
        <f t="shared" si="21"/>
        <v>0.3700630615930533</v>
      </c>
      <c r="N75" s="106">
        <f t="shared" si="21"/>
        <v>0.32932700849678326</v>
      </c>
      <c r="O75" s="106">
        <f t="shared" si="21"/>
        <v>0.30860094060737348</v>
      </c>
    </row>
    <row r="76" spans="1:15" ht="16" thickBot="1" x14ac:dyDescent="0.25">
      <c r="A76" s="17" t="s">
        <v>103</v>
      </c>
      <c r="B76" s="18">
        <v>7159276</v>
      </c>
      <c r="C76" s="18">
        <v>6598116</v>
      </c>
      <c r="D76" s="18">
        <v>8665290</v>
      </c>
      <c r="E76" s="18">
        <v>11735834</v>
      </c>
      <c r="F76" s="18">
        <v>11735834</v>
      </c>
      <c r="G76" s="18">
        <v>10586373</v>
      </c>
      <c r="H76" s="18">
        <v>14976649</v>
      </c>
      <c r="I76" s="18">
        <v>13421853</v>
      </c>
      <c r="J76" s="18"/>
      <c r="K76" s="18"/>
      <c r="L76" s="18"/>
      <c r="M76" s="18"/>
      <c r="N76" s="18"/>
      <c r="O76" s="18"/>
    </row>
    <row r="77" spans="1:15" ht="16" thickBot="1" x14ac:dyDescent="0.25">
      <c r="A77" s="17" t="s">
        <v>104</v>
      </c>
      <c r="B77" s="18">
        <v>-6406150</v>
      </c>
      <c r="C77" s="18">
        <v>-7859737</v>
      </c>
      <c r="D77" s="18">
        <v>-6888640</v>
      </c>
      <c r="E77" s="18">
        <v>-10983497</v>
      </c>
      <c r="F77" s="18">
        <v>-10983497</v>
      </c>
      <c r="G77" s="18">
        <v>-11798461</v>
      </c>
      <c r="H77" s="18">
        <v>-11422699</v>
      </c>
      <c r="I77" s="18">
        <v>-14105928</v>
      </c>
      <c r="J77" s="18"/>
      <c r="K77" s="18"/>
      <c r="L77" s="18"/>
      <c r="M77" s="18"/>
      <c r="N77" s="18"/>
      <c r="O77" s="18"/>
    </row>
    <row r="78" spans="1:15" ht="16" thickBot="1" x14ac:dyDescent="0.25">
      <c r="A78" s="17" t="s">
        <v>105</v>
      </c>
      <c r="B78" s="18">
        <v>753126</v>
      </c>
      <c r="C78" s="18">
        <v>-1261621</v>
      </c>
      <c r="D78" s="18">
        <v>1776650</v>
      </c>
      <c r="E78" s="18">
        <v>752337</v>
      </c>
      <c r="F78" s="18">
        <v>752337</v>
      </c>
      <c r="G78" s="18">
        <v>-1212087</v>
      </c>
      <c r="H78" s="18">
        <v>3553949</v>
      </c>
      <c r="I78" s="18">
        <v>-684075</v>
      </c>
      <c r="J78" s="18"/>
      <c r="K78" s="18"/>
      <c r="L78" s="18"/>
      <c r="M78" s="18"/>
      <c r="N78" s="18"/>
      <c r="O78" s="18"/>
    </row>
    <row r="79" spans="1:15" ht="16" thickBot="1" x14ac:dyDescent="0.25">
      <c r="A79" s="13" t="s">
        <v>106</v>
      </c>
      <c r="B79" s="14">
        <v>755156</v>
      </c>
      <c r="C79" s="14">
        <v>-1261571</v>
      </c>
      <c r="D79" s="14">
        <v>1801650</v>
      </c>
      <c r="E79" s="14">
        <v>676457</v>
      </c>
      <c r="F79" s="14">
        <v>676457</v>
      </c>
      <c r="G79" s="14">
        <v>-1272837</v>
      </c>
      <c r="H79" s="14">
        <v>3564193</v>
      </c>
      <c r="I79" s="14">
        <v>-712088</v>
      </c>
      <c r="J79" s="14">
        <f>J80*'Revenue breakdown'!G3</f>
        <v>1583937.3798751405</v>
      </c>
      <c r="K79" s="14">
        <f>K80*'Revenue breakdown'!H3</f>
        <v>1175186.9090772306</v>
      </c>
      <c r="L79" s="14">
        <f>L80*'Revenue breakdown'!I3</f>
        <v>1177268.0113641804</v>
      </c>
      <c r="M79" s="14">
        <f>M80*'Revenue breakdown'!J3</f>
        <v>1118012.8853611699</v>
      </c>
      <c r="N79" s="14">
        <f>N80*'Revenue breakdown'!K3</f>
        <v>1877459.0731972067</v>
      </c>
      <c r="O79" s="14">
        <f>O80*'Revenue breakdown'!L3</f>
        <v>1279295.2499827466</v>
      </c>
    </row>
    <row r="80" spans="1:15" ht="16" thickBot="1" x14ac:dyDescent="0.25">
      <c r="A80" s="70" t="s">
        <v>624</v>
      </c>
      <c r="B80" s="19"/>
      <c r="C80" s="19"/>
      <c r="D80" s="100">
        <f>D79/'Revenue breakdown'!B3</f>
        <v>0.11776771785949255</v>
      </c>
      <c r="E80" s="100">
        <f>E79/'Revenue breakdown'!C3</f>
        <v>4.0667225363052457E-2</v>
      </c>
      <c r="F80" s="100">
        <f>F79/'Revenue breakdown'!D3</f>
        <v>4.6138582648593926E-2</v>
      </c>
      <c r="G80" s="100">
        <f>G79/'Revenue breakdown'!E3</f>
        <v>-5.6583205456546472E-2</v>
      </c>
      <c r="H80" s="100">
        <f>H79/'Revenue breakdown'!F3</f>
        <v>0.11815343474552524</v>
      </c>
      <c r="I80" s="100">
        <f>I79/'Revenue breakdown'!G3</f>
        <v>-1.8551596711409726E-2</v>
      </c>
      <c r="J80" s="141">
        <f>AVERAGE(D80:I80)</f>
        <v>4.1265359741451325E-2</v>
      </c>
      <c r="K80" s="141">
        <f t="shared" ref="K80:O80" si="22">AVERAGE(E80:J80)</f>
        <v>2.8514966721777793E-2</v>
      </c>
      <c r="L80" s="141">
        <f t="shared" si="22"/>
        <v>2.6489590281565351E-2</v>
      </c>
      <c r="M80" s="141">
        <f t="shared" si="22"/>
        <v>2.3214758220393917E-2</v>
      </c>
      <c r="N80" s="141">
        <f t="shared" si="22"/>
        <v>3.6514418833217314E-2</v>
      </c>
      <c r="O80" s="141">
        <f t="shared" si="22"/>
        <v>2.2907916181165996E-2</v>
      </c>
    </row>
    <row r="81" spans="1:15" ht="16" thickBot="1" x14ac:dyDescent="0.25">
      <c r="A81" s="13" t="s">
        <v>107</v>
      </c>
      <c r="B81" s="14" t="s">
        <v>72</v>
      </c>
      <c r="C81" s="14" t="s">
        <v>72</v>
      </c>
      <c r="D81" s="14" t="s">
        <v>72</v>
      </c>
      <c r="E81" s="14" t="s">
        <v>72</v>
      </c>
      <c r="F81" s="14">
        <v>0</v>
      </c>
      <c r="G81" s="14">
        <v>75</v>
      </c>
      <c r="H81" s="14">
        <v>-5</v>
      </c>
      <c r="I81" s="14">
        <v>43</v>
      </c>
      <c r="J81" s="14"/>
      <c r="K81" s="14"/>
      <c r="L81" s="14"/>
      <c r="M81" s="14"/>
      <c r="N81" s="14"/>
      <c r="O81" s="14"/>
    </row>
    <row r="82" spans="1:15" ht="16" thickBot="1" x14ac:dyDescent="0.25">
      <c r="A82" s="13" t="s">
        <v>108</v>
      </c>
      <c r="B82" s="14">
        <v>668816</v>
      </c>
      <c r="C82" s="14">
        <v>-819431</v>
      </c>
      <c r="D82" s="14">
        <v>310302</v>
      </c>
      <c r="E82" s="14">
        <v>-78729</v>
      </c>
      <c r="F82" s="14">
        <v>-96183</v>
      </c>
      <c r="G82" s="14">
        <v>-150691</v>
      </c>
      <c r="H82" s="14">
        <v>403705</v>
      </c>
      <c r="I82" s="14">
        <v>-359653</v>
      </c>
      <c r="J82" s="14"/>
      <c r="K82" s="14"/>
      <c r="L82" s="14"/>
      <c r="M82" s="14"/>
      <c r="N82" s="14"/>
      <c r="O82" s="14"/>
    </row>
    <row r="83" spans="1:15" ht="16" thickBo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spans="1:15" ht="16" thickBot="1" x14ac:dyDescent="0.25">
      <c r="A84" s="13" t="s">
        <v>109</v>
      </c>
      <c r="B84" s="14">
        <v>788691</v>
      </c>
      <c r="C84" s="14">
        <v>1457507</v>
      </c>
      <c r="D84" s="14">
        <v>638076</v>
      </c>
      <c r="E84" s="14">
        <v>948378</v>
      </c>
      <c r="F84" s="14">
        <v>948378</v>
      </c>
      <c r="G84" s="14">
        <v>852195</v>
      </c>
      <c r="H84" s="14">
        <v>701504</v>
      </c>
      <c r="I84" s="14">
        <v>1105210</v>
      </c>
      <c r="J84" s="14"/>
      <c r="K84" s="14"/>
      <c r="L84" s="14"/>
      <c r="M84" s="14"/>
      <c r="N84" s="14"/>
      <c r="O84" s="14"/>
    </row>
    <row r="85" spans="1:15" ht="16" thickBot="1" x14ac:dyDescent="0.25">
      <c r="A85" s="13" t="s">
        <v>110</v>
      </c>
      <c r="B85" s="14">
        <v>1457507</v>
      </c>
      <c r="C85" s="14">
        <v>638076</v>
      </c>
      <c r="D85" s="14">
        <v>948378</v>
      </c>
      <c r="E85" s="14">
        <v>869650</v>
      </c>
      <c r="F85" s="14">
        <v>852195</v>
      </c>
      <c r="G85" s="14">
        <v>701504</v>
      </c>
      <c r="H85" s="14">
        <v>1105210</v>
      </c>
      <c r="I85" s="14">
        <v>745556</v>
      </c>
      <c r="J85" s="14"/>
      <c r="K85" s="14"/>
      <c r="L85" s="14"/>
      <c r="M85" s="14"/>
      <c r="N85" s="14"/>
      <c r="O85" s="14"/>
    </row>
    <row r="86" spans="1:15" ht="16" thickBot="1" x14ac:dyDescent="0.25">
      <c r="A86" s="13" t="s">
        <v>111</v>
      </c>
      <c r="B86" s="14">
        <v>71906</v>
      </c>
      <c r="C86" s="14">
        <v>78610</v>
      </c>
      <c r="D86" s="14">
        <v>90618</v>
      </c>
      <c r="E86" s="14">
        <v>133877</v>
      </c>
      <c r="F86" s="14">
        <v>133877</v>
      </c>
      <c r="G86" s="14">
        <v>114532</v>
      </c>
      <c r="H86" s="14">
        <v>120490</v>
      </c>
      <c r="I86" s="14">
        <v>218990</v>
      </c>
      <c r="J86" s="14"/>
      <c r="K86" s="14"/>
      <c r="L86" s="14"/>
      <c r="M86" s="14"/>
      <c r="N86" s="14"/>
      <c r="O86" s="14"/>
    </row>
    <row r="87" spans="1:15" ht="16" thickBot="1" x14ac:dyDescent="0.25">
      <c r="A87" s="13" t="s">
        <v>112</v>
      </c>
      <c r="B87" s="14">
        <v>46971</v>
      </c>
      <c r="C87" s="14">
        <v>67789</v>
      </c>
      <c r="D87" s="14">
        <v>92733</v>
      </c>
      <c r="E87" s="14">
        <v>82149</v>
      </c>
      <c r="F87" s="14">
        <v>82149</v>
      </c>
      <c r="G87" s="14">
        <v>23606</v>
      </c>
      <c r="H87" s="14">
        <v>90641</v>
      </c>
      <c r="I87" s="14">
        <v>135411</v>
      </c>
      <c r="J87" s="14"/>
      <c r="K87" s="14"/>
      <c r="L87" s="14"/>
      <c r="M87" s="14"/>
      <c r="N87" s="14"/>
      <c r="O87" s="14"/>
    </row>
    <row r="88" spans="1:15" ht="16" thickBot="1" x14ac:dyDescent="0.25">
      <c r="A88" s="13" t="s">
        <v>113</v>
      </c>
      <c r="B88" s="14" t="s">
        <v>72</v>
      </c>
      <c r="C88" s="14" t="s">
        <v>72</v>
      </c>
      <c r="D88" s="14" t="s">
        <v>72</v>
      </c>
      <c r="E88" s="14" t="s">
        <v>72</v>
      </c>
      <c r="F88" s="14" t="s">
        <v>72</v>
      </c>
      <c r="G88" s="14" t="s">
        <v>72</v>
      </c>
      <c r="H88" s="14" t="s">
        <v>72</v>
      </c>
      <c r="I88" s="14" t="s">
        <v>72</v>
      </c>
      <c r="J88" s="14"/>
      <c r="K88" s="14"/>
      <c r="L88" s="14"/>
      <c r="M88" s="14"/>
      <c r="N88" s="14"/>
      <c r="O88" s="14"/>
    </row>
    <row r="89" spans="1:15" ht="16" thickBot="1" x14ac:dyDescent="0.25">
      <c r="A89" s="13" t="s">
        <v>114</v>
      </c>
      <c r="B89" s="14" t="s">
        <v>72</v>
      </c>
      <c r="C89" s="14" t="s">
        <v>72</v>
      </c>
      <c r="D89" s="14" t="s">
        <v>72</v>
      </c>
      <c r="E89" s="14" t="s">
        <v>72</v>
      </c>
      <c r="F89" s="14" t="s">
        <v>72</v>
      </c>
      <c r="G89" s="14" t="s">
        <v>72</v>
      </c>
      <c r="H89" s="14" t="s">
        <v>72</v>
      </c>
      <c r="I89" s="14" t="s">
        <v>72</v>
      </c>
      <c r="J89" s="14"/>
      <c r="K89" s="14"/>
      <c r="L89" s="14"/>
      <c r="M89" s="14"/>
      <c r="N89" s="14"/>
      <c r="O89" s="14"/>
    </row>
    <row r="90" spans="1:15" ht="16" thickBot="1" x14ac:dyDescent="0.25">
      <c r="A90" s="13" t="s">
        <v>115</v>
      </c>
      <c r="B90" s="14" t="s">
        <v>72</v>
      </c>
      <c r="C90" s="14" t="s">
        <v>72</v>
      </c>
      <c r="D90" s="14" t="s">
        <v>72</v>
      </c>
      <c r="E90" s="14" t="s">
        <v>72</v>
      </c>
      <c r="F90" s="14" t="s">
        <v>72</v>
      </c>
      <c r="G90" s="14" t="s">
        <v>72</v>
      </c>
      <c r="H90" s="14" t="s">
        <v>72</v>
      </c>
      <c r="I90" s="14" t="s">
        <v>72</v>
      </c>
      <c r="J90" s="14"/>
      <c r="K90" s="14"/>
      <c r="L90" s="14"/>
      <c r="M90" s="14"/>
      <c r="N90" s="14"/>
      <c r="O90" s="14"/>
    </row>
    <row r="91" spans="1:15" ht="16" thickBot="1" x14ac:dyDescent="0.25">
      <c r="A91" s="13" t="s">
        <v>116</v>
      </c>
      <c r="B91" s="14" t="s">
        <v>72</v>
      </c>
      <c r="C91" s="14" t="s">
        <v>72</v>
      </c>
      <c r="D91" s="14" t="s">
        <v>72</v>
      </c>
      <c r="E91" s="14" t="s">
        <v>72</v>
      </c>
      <c r="F91" s="14" t="s">
        <v>72</v>
      </c>
      <c r="G91" s="14" t="s">
        <v>72</v>
      </c>
      <c r="H91" s="14" t="s">
        <v>72</v>
      </c>
      <c r="I91" s="14" t="s">
        <v>72</v>
      </c>
      <c r="J91" s="14"/>
      <c r="K91" s="14"/>
      <c r="L91" s="14"/>
      <c r="M91" s="14"/>
      <c r="N91" s="14"/>
      <c r="O91" s="14"/>
    </row>
    <row r="92" spans="1:15" ht="16" thickBot="1" x14ac:dyDescent="0.25">
      <c r="A92" s="13" t="s">
        <v>117</v>
      </c>
      <c r="B92" s="14" t="s">
        <v>72</v>
      </c>
      <c r="C92" s="14" t="s">
        <v>72</v>
      </c>
      <c r="D92" s="14" t="s">
        <v>72</v>
      </c>
      <c r="E92" s="14" t="s">
        <v>72</v>
      </c>
      <c r="F92" s="14" t="s">
        <v>72</v>
      </c>
      <c r="G92" s="14" t="s">
        <v>72</v>
      </c>
      <c r="H92" s="14" t="s">
        <v>72</v>
      </c>
      <c r="I92" s="14" t="s">
        <v>72</v>
      </c>
      <c r="J92" s="14"/>
      <c r="K92" s="14"/>
      <c r="L92" s="14"/>
      <c r="M92" s="14"/>
      <c r="N92" s="14"/>
      <c r="O92" s="14"/>
    </row>
    <row r="93" spans="1:15" s="55" customFormat="1" ht="16" thickBot="1" x14ac:dyDescent="0.25">
      <c r="A93" s="53" t="s">
        <v>118</v>
      </c>
      <c r="B93" s="54">
        <v>62431</v>
      </c>
      <c r="C93" s="54">
        <v>-58568</v>
      </c>
      <c r="D93" s="54">
        <v>-1717411</v>
      </c>
      <c r="E93" s="54">
        <v>-261774</v>
      </c>
      <c r="F93" s="54">
        <v>-279228</v>
      </c>
      <c r="G93" s="54">
        <v>1540303</v>
      </c>
      <c r="H93" s="54">
        <v>-1758147</v>
      </c>
      <c r="I93" s="54">
        <v>-1832560</v>
      </c>
      <c r="J93" s="54">
        <f>J94*('FPT Digital Retail JSC | Income'!J23-'FPT Digital Retail JSC | Income'!I23)</f>
        <v>-3250432.457092213</v>
      </c>
      <c r="K93" s="54">
        <f>K94*('FPT Digital Retail JSC | Income'!K23-'FPT Digital Retail JSC | Income'!J23)</f>
        <v>-928991.18683567212</v>
      </c>
      <c r="L93" s="54">
        <f>L94*('FPT Digital Retail JSC | Income'!L23-'FPT Digital Retail JSC | Income'!K23)</f>
        <v>-1171934.5419755168</v>
      </c>
      <c r="M93" s="54">
        <f>M94*('FPT Digital Retail JSC | Income'!M23-'FPT Digital Retail JSC | Income'!L23)</f>
        <v>-1444010.3269366871</v>
      </c>
      <c r="N93" s="54">
        <f>N94*('FPT Digital Retail JSC | Income'!N23-'FPT Digital Retail JSC | Income'!M23)</f>
        <v>-1052455.6923546931</v>
      </c>
      <c r="O93" s="54">
        <f>O94*('FPT Digital Retail JSC | Income'!O23-'FPT Digital Retail JSC | Income'!N23)</f>
        <v>-1503574.9230960736</v>
      </c>
    </row>
    <row r="94" spans="1:15" s="55" customFormat="1" ht="16" thickBot="1" x14ac:dyDescent="0.25">
      <c r="A94" s="53"/>
      <c r="B94" s="54"/>
      <c r="C94" s="54"/>
      <c r="D94" s="113">
        <f>D93/('FPT Digital Retail JSC | Income'!E23-'FPT Digital Retail JSC | Income'!D23)</f>
        <v>-0.79812019592716865</v>
      </c>
      <c r="E94" s="113">
        <f>E93/('FPT Digital Retail JSC | Income'!E23-'FPT Digital Retail JSC | Income'!D23)</f>
        <v>-0.12165236869254863</v>
      </c>
      <c r="F94" s="113">
        <f>F93/('FPT Digital Retail JSC | Income'!F23-'FPT Digital Retail JSC | Income'!E23)</f>
        <v>-0.20906167524567151</v>
      </c>
      <c r="G94" s="113">
        <f>G93/('FPT Digital Retail JSC | Income'!G23-'FPT Digital Retail JSC | Income'!F23)</f>
        <v>-0.78087169709354876</v>
      </c>
      <c r="H94" s="113">
        <f>H93/('FPT Digital Retail JSC | Income'!H23-'FPT Digital Retail JSC | Income'!G23)</f>
        <v>-0.22443826191567953</v>
      </c>
      <c r="I94" s="113">
        <f>I93/('FPT Digital Retail JSC | Income'!I23-'FPT Digital Retail JSC | Income'!H23)</f>
        <v>-0.23889952078260007</v>
      </c>
      <c r="J94" s="113">
        <f>AVERAGE(D94:I94)</f>
        <v>-0.39550728660953621</v>
      </c>
      <c r="K94" s="113">
        <f t="shared" ref="K94:O94" si="23">AVERAGE(E94:J94)</f>
        <v>-0.32840513505659746</v>
      </c>
      <c r="L94" s="113">
        <f t="shared" si="23"/>
        <v>-0.36286392945060558</v>
      </c>
      <c r="M94" s="113">
        <f t="shared" si="23"/>
        <v>-0.38849763848476132</v>
      </c>
      <c r="N94" s="113">
        <f t="shared" si="23"/>
        <v>-0.32310196204996339</v>
      </c>
      <c r="O94" s="113">
        <f t="shared" si="23"/>
        <v>-0.33954591207234402</v>
      </c>
    </row>
    <row r="95" spans="1:15" ht="16" thickBot="1" x14ac:dyDescent="0.25">
      <c r="A95" s="13" t="s">
        <v>119</v>
      </c>
      <c r="B95" s="14" t="s">
        <v>72</v>
      </c>
      <c r="C95" s="14" t="s">
        <v>72</v>
      </c>
      <c r="D95" s="14" t="s">
        <v>72</v>
      </c>
      <c r="E95" s="14" t="s">
        <v>72</v>
      </c>
      <c r="F95" s="14" t="s">
        <v>72</v>
      </c>
      <c r="G95" s="14" t="s">
        <v>72</v>
      </c>
      <c r="H95" s="14" t="s">
        <v>72</v>
      </c>
      <c r="I95" s="14" t="s">
        <v>72</v>
      </c>
      <c r="J95" s="14"/>
      <c r="K95" s="14"/>
      <c r="L95" s="14"/>
      <c r="M95" s="14"/>
      <c r="N95" s="14"/>
      <c r="O95" s="14"/>
    </row>
    <row r="96" spans="1:15" ht="16" thickBot="1" x14ac:dyDescent="0.25">
      <c r="A96" s="13" t="s">
        <v>120</v>
      </c>
      <c r="B96" s="14" t="s">
        <v>72</v>
      </c>
      <c r="C96" s="14" t="s">
        <v>72</v>
      </c>
      <c r="D96" s="14" t="s">
        <v>72</v>
      </c>
      <c r="E96" s="14" t="s">
        <v>72</v>
      </c>
      <c r="F96" s="14" t="s">
        <v>72</v>
      </c>
      <c r="G96" s="14" t="s">
        <v>72</v>
      </c>
      <c r="H96" s="14" t="s">
        <v>72</v>
      </c>
      <c r="I96" s="14" t="s">
        <v>72</v>
      </c>
      <c r="J96" s="14"/>
      <c r="K96" s="14"/>
      <c r="L96" s="14"/>
      <c r="M96" s="14"/>
      <c r="N96" s="14"/>
      <c r="O96" s="14"/>
    </row>
    <row r="97" spans="1:15" x14ac:dyDescent="0.2">
      <c r="A97" s="13" t="s">
        <v>121</v>
      </c>
      <c r="B97" s="14" t="s">
        <v>72</v>
      </c>
      <c r="C97" s="14" t="s">
        <v>72</v>
      </c>
      <c r="D97" s="14" t="s">
        <v>72</v>
      </c>
      <c r="E97" s="14" t="s">
        <v>72</v>
      </c>
      <c r="F97" s="14" t="s">
        <v>72</v>
      </c>
      <c r="G97" s="14" t="s">
        <v>72</v>
      </c>
      <c r="H97" s="14" t="s">
        <v>72</v>
      </c>
      <c r="I97" s="14" t="s">
        <v>72</v>
      </c>
      <c r="J97" s="14"/>
      <c r="K97" s="14"/>
      <c r="L97" s="14"/>
      <c r="M97" s="14"/>
      <c r="N97" s="14"/>
      <c r="O97" s="14"/>
    </row>
    <row r="98" spans="1:15" ht="16" thickBot="1" x14ac:dyDescent="0.25">
      <c r="A98" s="20"/>
    </row>
    <row r="99" spans="1:15" s="55" customFormat="1" ht="16" thickBot="1" x14ac:dyDescent="0.25">
      <c r="A99" s="56" t="s">
        <v>122</v>
      </c>
      <c r="B99" s="54">
        <v>145171</v>
      </c>
      <c r="C99" s="54">
        <v>127154</v>
      </c>
      <c r="D99" s="54">
        <v>-1386811</v>
      </c>
      <c r="E99" s="54">
        <v>-112013</v>
      </c>
      <c r="F99" s="54">
        <v>-129467</v>
      </c>
      <c r="G99" s="54">
        <v>1514904</v>
      </c>
      <c r="H99" s="54">
        <v>-1476441</v>
      </c>
      <c r="I99" s="54">
        <v>-2025859</v>
      </c>
      <c r="J99" s="54"/>
      <c r="K99" s="54"/>
      <c r="L99" s="54"/>
      <c r="M99" s="54"/>
      <c r="N99" s="54"/>
      <c r="O99" s="54"/>
    </row>
    <row r="100" spans="1:1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</sheetData>
  <phoneticPr fontId="27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8C45-8708-1D45-92C9-22D72AF5BB73}">
  <sheetPr codeName="Sheet2"/>
  <dimension ref="A1:O233"/>
  <sheetViews>
    <sheetView zoomScale="85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I98" sqref="I98"/>
    </sheetView>
  </sheetViews>
  <sheetFormatPr baseColWidth="10" defaultColWidth="8.83203125" defaultRowHeight="15" x14ac:dyDescent="0.2"/>
  <cols>
    <col min="1" max="1" width="36.5" bestFit="1" customWidth="1"/>
    <col min="2" max="3" width="28.5" hidden="1" customWidth="1"/>
    <col min="4" max="14" width="28.5" bestFit="1" customWidth="1"/>
  </cols>
  <sheetData>
    <row r="1" spans="1:14" x14ac:dyDescent="0.2">
      <c r="A1" s="1" t="s">
        <v>123</v>
      </c>
    </row>
    <row r="3" spans="1:14" x14ac:dyDescent="0.2">
      <c r="A3" s="2" t="s">
        <v>124</v>
      </c>
      <c r="E3" s="63">
        <f>E32-D32</f>
        <v>92247</v>
      </c>
    </row>
    <row r="4" spans="1:14" ht="16" thickBot="1" x14ac:dyDescent="0.25">
      <c r="A4" s="2" t="s">
        <v>2</v>
      </c>
    </row>
    <row r="5" spans="1:14" ht="16" thickBot="1" x14ac:dyDescent="0.25">
      <c r="A5" s="3"/>
      <c r="B5" s="4">
        <v>2016</v>
      </c>
      <c r="C5" s="4">
        <v>2017</v>
      </c>
      <c r="D5" s="4">
        <v>2018</v>
      </c>
      <c r="E5" s="4">
        <v>2019</v>
      </c>
      <c r="F5" s="4">
        <v>2020</v>
      </c>
      <c r="G5" s="4">
        <v>2021</v>
      </c>
      <c r="H5" s="4">
        <v>2022</v>
      </c>
      <c r="I5" s="41" t="s">
        <v>579</v>
      </c>
      <c r="J5" s="41" t="s">
        <v>580</v>
      </c>
      <c r="K5" s="41" t="s">
        <v>581</v>
      </c>
      <c r="L5" s="41" t="s">
        <v>582</v>
      </c>
      <c r="M5" s="41" t="s">
        <v>583</v>
      </c>
      <c r="N5" s="41" t="s">
        <v>584</v>
      </c>
    </row>
    <row r="6" spans="1:14" ht="14.25" customHeight="1" thickBot="1" x14ac:dyDescent="0.25">
      <c r="A6" s="5" t="s">
        <v>3</v>
      </c>
      <c r="B6" s="6" t="s">
        <v>4</v>
      </c>
      <c r="C6" s="6" t="s">
        <v>4</v>
      </c>
      <c r="D6" s="7" t="s">
        <v>5</v>
      </c>
      <c r="E6" s="8" t="s">
        <v>7</v>
      </c>
      <c r="F6" s="9" t="s">
        <v>8</v>
      </c>
      <c r="G6" s="7" t="s">
        <v>9</v>
      </c>
      <c r="H6" s="8" t="s">
        <v>10</v>
      </c>
      <c r="I6" s="42"/>
      <c r="J6" s="43"/>
      <c r="K6" s="44"/>
      <c r="L6" s="44"/>
      <c r="M6" s="42"/>
      <c r="N6" s="44"/>
    </row>
    <row r="7" spans="1:14" ht="16" hidden="1" thickBot="1" x14ac:dyDescent="0.25">
      <c r="A7" s="10" t="s">
        <v>11</v>
      </c>
      <c r="B7" s="11" t="s">
        <v>12</v>
      </c>
      <c r="C7" s="11" t="s">
        <v>13</v>
      </c>
      <c r="D7" s="11" t="s">
        <v>14</v>
      </c>
      <c r="E7" s="11" t="s">
        <v>15</v>
      </c>
      <c r="F7" s="11" t="s">
        <v>16</v>
      </c>
      <c r="G7" s="11" t="s">
        <v>17</v>
      </c>
      <c r="H7" s="11" t="s">
        <v>18</v>
      </c>
      <c r="I7" s="11" t="s">
        <v>14</v>
      </c>
      <c r="J7" s="11" t="s">
        <v>15</v>
      </c>
      <c r="K7" s="11" t="s">
        <v>15</v>
      </c>
      <c r="L7" s="11" t="s">
        <v>16</v>
      </c>
      <c r="M7" s="11" t="s">
        <v>17</v>
      </c>
      <c r="N7" s="11" t="s">
        <v>18</v>
      </c>
    </row>
    <row r="8" spans="1:14" ht="16" hidden="1" thickBot="1" x14ac:dyDescent="0.25">
      <c r="A8" s="10" t="s">
        <v>21</v>
      </c>
      <c r="B8" s="11" t="s">
        <v>22</v>
      </c>
      <c r="C8" s="11" t="s">
        <v>22</v>
      </c>
      <c r="D8" s="11" t="s">
        <v>22</v>
      </c>
      <c r="E8" s="11" t="s">
        <v>22</v>
      </c>
      <c r="F8" s="11" t="s">
        <v>22</v>
      </c>
      <c r="G8" s="11" t="s">
        <v>22</v>
      </c>
      <c r="H8" s="11" t="s">
        <v>22</v>
      </c>
      <c r="I8" s="11" t="s">
        <v>22</v>
      </c>
      <c r="J8" s="11" t="s">
        <v>22</v>
      </c>
      <c r="K8" s="11" t="s">
        <v>23</v>
      </c>
      <c r="L8" s="11" t="s">
        <v>22</v>
      </c>
      <c r="M8" s="11" t="s">
        <v>22</v>
      </c>
      <c r="N8" s="11" t="s">
        <v>22</v>
      </c>
    </row>
    <row r="9" spans="1:14" ht="16" hidden="1" thickBot="1" x14ac:dyDescent="0.25">
      <c r="A9" s="10" t="s">
        <v>24</v>
      </c>
      <c r="B9" s="11" t="s">
        <v>13</v>
      </c>
      <c r="C9" s="11" t="s">
        <v>13</v>
      </c>
      <c r="D9" s="11" t="s">
        <v>14</v>
      </c>
      <c r="E9" s="11" t="s">
        <v>15</v>
      </c>
      <c r="F9" s="11" t="s">
        <v>16</v>
      </c>
      <c r="G9" s="11" t="s">
        <v>17</v>
      </c>
      <c r="H9" s="11" t="s">
        <v>18</v>
      </c>
      <c r="I9" s="11" t="s">
        <v>14</v>
      </c>
      <c r="J9" s="11" t="s">
        <v>15</v>
      </c>
      <c r="K9" s="11" t="s">
        <v>16</v>
      </c>
      <c r="L9" s="11" t="s">
        <v>16</v>
      </c>
      <c r="M9" s="11" t="s">
        <v>17</v>
      </c>
      <c r="N9" s="11" t="s">
        <v>18</v>
      </c>
    </row>
    <row r="10" spans="1:14" ht="16" hidden="1" thickBot="1" x14ac:dyDescent="0.25">
      <c r="A10" s="10" t="s">
        <v>25</v>
      </c>
      <c r="B10" s="11" t="s">
        <v>26</v>
      </c>
      <c r="C10" s="11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26</v>
      </c>
      <c r="N10" s="11" t="s">
        <v>26</v>
      </c>
    </row>
    <row r="11" spans="1:14" ht="16" hidden="1" thickBot="1" x14ac:dyDescent="0.25">
      <c r="A11" s="10" t="s">
        <v>27</v>
      </c>
      <c r="B11" s="11" t="s">
        <v>31</v>
      </c>
      <c r="C11" s="11" t="s">
        <v>31</v>
      </c>
      <c r="D11" s="11" t="s">
        <v>31</v>
      </c>
      <c r="E11" s="11" t="s">
        <v>31</v>
      </c>
      <c r="F11" s="11" t="s">
        <v>31</v>
      </c>
      <c r="G11" s="11" t="s">
        <v>31</v>
      </c>
      <c r="H11" s="11" t="s">
        <v>32</v>
      </c>
      <c r="I11" s="11" t="s">
        <v>30</v>
      </c>
      <c r="J11" s="11" t="s">
        <v>31</v>
      </c>
      <c r="K11" s="11" t="s">
        <v>31</v>
      </c>
      <c r="L11" s="11" t="s">
        <v>31</v>
      </c>
      <c r="M11" s="11" t="s">
        <v>31</v>
      </c>
      <c r="N11" s="11" t="s">
        <v>32</v>
      </c>
    </row>
    <row r="12" spans="1:14" ht="16" hidden="1" thickBot="1" x14ac:dyDescent="0.25">
      <c r="A12" s="10" t="s">
        <v>33</v>
      </c>
      <c r="B12" s="11" t="s">
        <v>34</v>
      </c>
      <c r="C12" s="11" t="s">
        <v>34</v>
      </c>
      <c r="D12" s="11" t="s">
        <v>34</v>
      </c>
      <c r="E12" s="11" t="s">
        <v>34</v>
      </c>
      <c r="F12" s="11" t="s">
        <v>34</v>
      </c>
      <c r="G12" s="11" t="s">
        <v>34</v>
      </c>
      <c r="H12" s="11" t="s">
        <v>34</v>
      </c>
      <c r="I12" s="11" t="s">
        <v>34</v>
      </c>
      <c r="J12" s="11" t="s">
        <v>34</v>
      </c>
      <c r="K12" s="11" t="s">
        <v>34</v>
      </c>
      <c r="L12" s="11" t="s">
        <v>34</v>
      </c>
      <c r="M12" s="11" t="s">
        <v>34</v>
      </c>
      <c r="N12" s="11" t="s">
        <v>34</v>
      </c>
    </row>
    <row r="13" spans="1:14" ht="16" hidden="1" thickBot="1" x14ac:dyDescent="0.25">
      <c r="A13" s="10" t="s">
        <v>35</v>
      </c>
      <c r="B13" s="11" t="s">
        <v>36</v>
      </c>
      <c r="C13" s="11" t="s">
        <v>36</v>
      </c>
      <c r="D13" s="11" t="s">
        <v>36</v>
      </c>
      <c r="E13" s="11" t="s">
        <v>36</v>
      </c>
      <c r="F13" s="11" t="s">
        <v>36</v>
      </c>
      <c r="G13" s="11" t="s">
        <v>36</v>
      </c>
      <c r="H13" s="11" t="s">
        <v>36</v>
      </c>
      <c r="I13" s="11" t="s">
        <v>36</v>
      </c>
      <c r="J13" s="11" t="s">
        <v>36</v>
      </c>
      <c r="K13" s="11" t="s">
        <v>36</v>
      </c>
      <c r="L13" s="11" t="s">
        <v>36</v>
      </c>
      <c r="M13" s="11" t="s">
        <v>36</v>
      </c>
      <c r="N13" s="11" t="s">
        <v>36</v>
      </c>
    </row>
    <row r="14" spans="1:14" ht="16" hidden="1" thickBot="1" x14ac:dyDescent="0.25">
      <c r="A14" s="10" t="s">
        <v>37</v>
      </c>
      <c r="B14" s="11" t="s">
        <v>38</v>
      </c>
      <c r="C14" s="11" t="s">
        <v>38</v>
      </c>
      <c r="D14" s="11" t="s">
        <v>39</v>
      </c>
      <c r="E14" s="11" t="s">
        <v>40</v>
      </c>
      <c r="F14" s="11" t="s">
        <v>41</v>
      </c>
      <c r="G14" s="11" t="s">
        <v>42</v>
      </c>
      <c r="H14" s="11" t="s">
        <v>43</v>
      </c>
      <c r="I14" s="11" t="s">
        <v>39</v>
      </c>
      <c r="J14" s="11" t="s">
        <v>40</v>
      </c>
      <c r="K14" s="11" t="s">
        <v>41</v>
      </c>
      <c r="L14" s="11" t="s">
        <v>41</v>
      </c>
      <c r="M14" s="11" t="s">
        <v>42</v>
      </c>
      <c r="N14" s="11" t="s">
        <v>43</v>
      </c>
    </row>
    <row r="15" spans="1:14" ht="16" hidden="1" thickBot="1" x14ac:dyDescent="0.25">
      <c r="A15" s="10" t="s">
        <v>44</v>
      </c>
      <c r="B15" s="11" t="s">
        <v>45</v>
      </c>
      <c r="C15" s="11" t="s">
        <v>46</v>
      </c>
      <c r="D15" s="11" t="s">
        <v>47</v>
      </c>
      <c r="E15" s="11" t="s">
        <v>48</v>
      </c>
      <c r="F15" s="11" t="s">
        <v>49</v>
      </c>
      <c r="G15" s="11" t="s">
        <v>50</v>
      </c>
      <c r="H15" s="11" t="s">
        <v>51</v>
      </c>
      <c r="I15" s="11" t="s">
        <v>47</v>
      </c>
      <c r="J15" s="11" t="s">
        <v>48</v>
      </c>
      <c r="K15" s="11" t="s">
        <v>49</v>
      </c>
      <c r="L15" s="11" t="s">
        <v>49</v>
      </c>
      <c r="M15" s="11" t="s">
        <v>50</v>
      </c>
      <c r="N15" s="11" t="s">
        <v>51</v>
      </c>
    </row>
    <row r="16" spans="1:14" ht="16" hidden="1" thickBot="1" x14ac:dyDescent="0.25">
      <c r="A16" s="10" t="s">
        <v>52</v>
      </c>
      <c r="B16" s="11" t="s">
        <v>53</v>
      </c>
      <c r="C16" s="11" t="s">
        <v>53</v>
      </c>
      <c r="D16" s="11" t="s">
        <v>53</v>
      </c>
      <c r="E16" s="11" t="s">
        <v>53</v>
      </c>
      <c r="F16" s="11" t="s">
        <v>53</v>
      </c>
      <c r="G16" s="11" t="s">
        <v>53</v>
      </c>
      <c r="H16" s="11" t="s">
        <v>53</v>
      </c>
      <c r="I16" s="11" t="s">
        <v>53</v>
      </c>
      <c r="J16" s="11" t="s">
        <v>53</v>
      </c>
      <c r="K16" s="11" t="s">
        <v>53</v>
      </c>
      <c r="L16" s="11" t="s">
        <v>53</v>
      </c>
      <c r="M16" s="11" t="s">
        <v>53</v>
      </c>
      <c r="N16" s="11" t="s">
        <v>53</v>
      </c>
    </row>
    <row r="17" spans="1:15" ht="16" hidden="1" thickBot="1" x14ac:dyDescent="0.25">
      <c r="A17" s="10" t="s">
        <v>54</v>
      </c>
      <c r="B17" s="11" t="s">
        <v>55</v>
      </c>
      <c r="C17" s="11" t="s">
        <v>55</v>
      </c>
      <c r="D17" s="11" t="s">
        <v>55</v>
      </c>
      <c r="E17" s="11" t="s">
        <v>55</v>
      </c>
      <c r="F17" s="11" t="s">
        <v>55</v>
      </c>
      <c r="G17" s="11" t="s">
        <v>55</v>
      </c>
      <c r="H17" s="11" t="s">
        <v>55</v>
      </c>
      <c r="I17" s="11" t="s">
        <v>55</v>
      </c>
      <c r="J17" s="11" t="s">
        <v>55</v>
      </c>
      <c r="K17" s="11" t="s">
        <v>55</v>
      </c>
      <c r="L17" s="11" t="s">
        <v>55</v>
      </c>
      <c r="M17" s="11" t="s">
        <v>55</v>
      </c>
      <c r="N17" s="11" t="s">
        <v>55</v>
      </c>
    </row>
    <row r="18" spans="1:15" ht="16" hidden="1" thickBot="1" x14ac:dyDescent="0.25">
      <c r="A18" s="10" t="s">
        <v>56</v>
      </c>
      <c r="B18" s="11" t="s">
        <v>57</v>
      </c>
      <c r="C18" s="11" t="s">
        <v>57</v>
      </c>
      <c r="D18" s="11" t="s">
        <v>57</v>
      </c>
      <c r="E18" s="11" t="s">
        <v>57</v>
      </c>
      <c r="F18" s="11" t="s">
        <v>57</v>
      </c>
      <c r="G18" s="11" t="s">
        <v>57</v>
      </c>
      <c r="H18" s="11" t="s">
        <v>57</v>
      </c>
      <c r="I18" s="11" t="s">
        <v>57</v>
      </c>
      <c r="J18" s="11" t="s">
        <v>57</v>
      </c>
      <c r="K18" s="11" t="s">
        <v>57</v>
      </c>
      <c r="L18" s="11" t="s">
        <v>57</v>
      </c>
      <c r="M18" s="11" t="s">
        <v>57</v>
      </c>
      <c r="N18" s="11" t="s">
        <v>57</v>
      </c>
    </row>
    <row r="19" spans="1:15" ht="16" hidden="1" thickBot="1" x14ac:dyDescent="0.25">
      <c r="A19" s="10" t="s">
        <v>58</v>
      </c>
      <c r="B19" s="11" t="s">
        <v>59</v>
      </c>
      <c r="C19" s="11" t="s">
        <v>59</v>
      </c>
      <c r="D19" s="11" t="s">
        <v>59</v>
      </c>
      <c r="E19" s="11" t="s">
        <v>60</v>
      </c>
      <c r="F19" s="11" t="s">
        <v>60</v>
      </c>
      <c r="G19" s="11" t="s">
        <v>61</v>
      </c>
      <c r="H19" s="11" t="s">
        <v>61</v>
      </c>
      <c r="I19" s="11" t="s">
        <v>59</v>
      </c>
      <c r="J19" s="11" t="s">
        <v>60</v>
      </c>
      <c r="K19" s="11" t="s">
        <v>60</v>
      </c>
      <c r="L19" s="11" t="s">
        <v>60</v>
      </c>
      <c r="M19" s="11" t="s">
        <v>61</v>
      </c>
      <c r="N19" s="11" t="s">
        <v>61</v>
      </c>
    </row>
    <row r="20" spans="1:15" ht="16" hidden="1" thickBot="1" x14ac:dyDescent="0.25">
      <c r="A20" s="10" t="s">
        <v>62</v>
      </c>
      <c r="B20" s="11" t="s">
        <v>63</v>
      </c>
      <c r="C20" s="11" t="s">
        <v>63</v>
      </c>
      <c r="D20" s="11" t="s">
        <v>63</v>
      </c>
      <c r="E20" s="11" t="s">
        <v>64</v>
      </c>
      <c r="F20" s="11" t="s">
        <v>64</v>
      </c>
      <c r="G20" s="11" t="s">
        <v>64</v>
      </c>
      <c r="H20" s="11" t="s">
        <v>64</v>
      </c>
      <c r="I20" s="11" t="s">
        <v>63</v>
      </c>
      <c r="J20" s="11" t="s">
        <v>64</v>
      </c>
      <c r="K20" s="11" t="s">
        <v>64</v>
      </c>
      <c r="L20" s="11" t="s">
        <v>64</v>
      </c>
      <c r="M20" s="11" t="s">
        <v>64</v>
      </c>
      <c r="N20" s="11" t="s">
        <v>64</v>
      </c>
    </row>
    <row r="21" spans="1:15" hidden="1" x14ac:dyDescent="0.2">
      <c r="A21" s="10" t="s">
        <v>65</v>
      </c>
      <c r="B21" s="11" t="s">
        <v>66</v>
      </c>
      <c r="C21" s="11" t="s">
        <v>66</v>
      </c>
      <c r="D21" s="11" t="s">
        <v>66</v>
      </c>
      <c r="E21" s="11" t="s">
        <v>66</v>
      </c>
      <c r="F21" s="11" t="s">
        <v>66</v>
      </c>
      <c r="G21" s="11" t="s">
        <v>66</v>
      </c>
      <c r="H21" s="11" t="s">
        <v>66</v>
      </c>
      <c r="I21" s="11" t="s">
        <v>66</v>
      </c>
      <c r="J21" s="11" t="s">
        <v>66</v>
      </c>
      <c r="K21" s="11" t="s">
        <v>66</v>
      </c>
      <c r="L21" s="11" t="s">
        <v>66</v>
      </c>
      <c r="M21" s="11" t="s">
        <v>66</v>
      </c>
      <c r="N21" s="11" t="s">
        <v>66</v>
      </c>
    </row>
    <row r="22" spans="1:15" ht="12" customHeight="1" thickBot="1" x14ac:dyDescent="0.25">
      <c r="A22" s="12" t="s">
        <v>125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5" ht="16" thickBot="1" x14ac:dyDescent="0.25">
      <c r="A23" s="15" t="s">
        <v>126</v>
      </c>
      <c r="B23" s="16">
        <v>1457807</v>
      </c>
      <c r="C23" s="16">
        <v>638076</v>
      </c>
      <c r="D23" s="16">
        <v>952518</v>
      </c>
      <c r="E23" s="16">
        <v>1364293</v>
      </c>
      <c r="F23" s="16">
        <v>1489663</v>
      </c>
      <c r="G23" s="16">
        <v>2925710</v>
      </c>
      <c r="H23" s="16">
        <v>1864556</v>
      </c>
      <c r="I23" s="14"/>
      <c r="J23" s="14"/>
      <c r="K23" s="14"/>
      <c r="L23" s="14"/>
      <c r="M23" s="14"/>
      <c r="N23" s="14"/>
    </row>
    <row r="24" spans="1:15" ht="16" thickBot="1" x14ac:dyDescent="0.25">
      <c r="A24" s="17" t="s">
        <v>127</v>
      </c>
      <c r="B24" s="18">
        <v>409709</v>
      </c>
      <c r="C24" s="18">
        <v>567217</v>
      </c>
      <c r="D24" s="18">
        <v>855378</v>
      </c>
      <c r="E24" s="18">
        <v>415979</v>
      </c>
      <c r="F24" s="18">
        <v>551504</v>
      </c>
      <c r="G24" s="18">
        <v>679939</v>
      </c>
      <c r="H24" s="18">
        <v>450488</v>
      </c>
      <c r="I24" s="16"/>
      <c r="J24" s="16"/>
      <c r="K24" s="16"/>
      <c r="L24" s="16"/>
      <c r="M24" s="16"/>
      <c r="N24" s="16"/>
    </row>
    <row r="25" spans="1:15" ht="16" thickBot="1" x14ac:dyDescent="0.25">
      <c r="A25" s="17" t="s">
        <v>128</v>
      </c>
      <c r="B25" s="18">
        <v>1047798</v>
      </c>
      <c r="C25" s="18">
        <v>70859</v>
      </c>
      <c r="D25" s="18">
        <v>93000</v>
      </c>
      <c r="E25" s="18">
        <v>453671</v>
      </c>
      <c r="F25" s="18">
        <v>150000</v>
      </c>
      <c r="G25" s="18">
        <v>425271</v>
      </c>
      <c r="H25" s="18">
        <v>295068</v>
      </c>
      <c r="I25" s="18"/>
      <c r="J25" s="18"/>
      <c r="K25" s="18"/>
      <c r="L25" s="18"/>
      <c r="M25" s="18"/>
      <c r="N25" s="18"/>
    </row>
    <row r="26" spans="1:15" ht="16" thickBot="1" x14ac:dyDescent="0.25">
      <c r="A26" s="17" t="s">
        <v>129</v>
      </c>
      <c r="B26" s="18">
        <v>300</v>
      </c>
      <c r="C26" s="18">
        <v>0</v>
      </c>
      <c r="D26" s="18">
        <v>4140</v>
      </c>
      <c r="E26" s="18">
        <v>494643</v>
      </c>
      <c r="F26" s="18">
        <v>788159</v>
      </c>
      <c r="G26" s="18">
        <v>1820500</v>
      </c>
      <c r="H26" s="18">
        <v>1119000</v>
      </c>
      <c r="I26" s="16"/>
      <c r="J26" s="16"/>
      <c r="K26" s="16"/>
      <c r="L26" s="16"/>
      <c r="M26" s="16"/>
      <c r="N26" s="16"/>
    </row>
    <row r="27" spans="1:15" ht="16" thickBot="1" x14ac:dyDescent="0.25">
      <c r="A27" s="15" t="s">
        <v>130</v>
      </c>
      <c r="B27" s="16">
        <v>115139</v>
      </c>
      <c r="C27" s="16">
        <v>294862</v>
      </c>
      <c r="D27" s="16">
        <v>220039</v>
      </c>
      <c r="E27" s="16">
        <v>260115</v>
      </c>
      <c r="F27" s="16">
        <v>114599</v>
      </c>
      <c r="G27" s="16">
        <v>72977</v>
      </c>
      <c r="H27" s="16">
        <v>82479</v>
      </c>
      <c r="I27" s="99">
        <f>I54*'Revenue breakdown'!G3</f>
        <v>336364.41288887011</v>
      </c>
      <c r="J27" s="18">
        <f>J54*'Revenue breakdown'!H3</f>
        <v>314829.20106648386</v>
      </c>
      <c r="K27" s="18">
        <f>K54*'Revenue breakdown'!I3</f>
        <v>268405.96473821485</v>
      </c>
      <c r="L27" s="18">
        <f>L54*'Revenue breakdown'!J3</f>
        <v>273737.95784155873</v>
      </c>
      <c r="M27" s="18">
        <f>M54*'Revenue breakdown'!K3</f>
        <v>317342.35592335853</v>
      </c>
      <c r="N27" s="18">
        <f>N54*'Revenue breakdown'!L3</f>
        <v>383069.27835307061</v>
      </c>
    </row>
    <row r="28" spans="1:15" ht="16" thickBot="1" x14ac:dyDescent="0.25">
      <c r="A28" s="17" t="s">
        <v>131</v>
      </c>
      <c r="B28" s="18">
        <v>119330</v>
      </c>
      <c r="C28" s="18">
        <v>305662</v>
      </c>
      <c r="D28" s="18">
        <v>237824</v>
      </c>
      <c r="E28" s="18">
        <v>294575</v>
      </c>
      <c r="F28" s="18">
        <v>172585</v>
      </c>
      <c r="G28" s="18">
        <v>80725</v>
      </c>
      <c r="H28" s="18">
        <v>89623</v>
      </c>
      <c r="I28" s="14"/>
      <c r="J28" s="14"/>
      <c r="K28" s="14"/>
      <c r="L28" s="14"/>
      <c r="M28" s="14"/>
      <c r="N28" s="14"/>
    </row>
    <row r="29" spans="1:15" ht="16" thickBot="1" x14ac:dyDescent="0.25">
      <c r="A29" s="17" t="s">
        <v>132</v>
      </c>
      <c r="B29" s="18">
        <v>-4191</v>
      </c>
      <c r="C29" s="18">
        <v>-10800</v>
      </c>
      <c r="D29" s="18">
        <v>-17785</v>
      </c>
      <c r="E29" s="18">
        <v>-34459</v>
      </c>
      <c r="F29" s="18">
        <v>-57986</v>
      </c>
      <c r="G29" s="18">
        <v>-7749</v>
      </c>
      <c r="H29" s="18">
        <v>-7143</v>
      </c>
      <c r="I29" s="16"/>
      <c r="J29" s="16"/>
      <c r="K29" s="16"/>
      <c r="L29" s="16"/>
      <c r="M29" s="16"/>
      <c r="N29" s="16"/>
    </row>
    <row r="30" spans="1:15" s="76" customFormat="1" ht="16" thickBot="1" x14ac:dyDescent="0.25">
      <c r="A30" s="186" t="s">
        <v>645</v>
      </c>
      <c r="B30" s="86"/>
      <c r="C30" s="86"/>
      <c r="D30" s="86">
        <f>D32-D35</f>
        <v>997840</v>
      </c>
      <c r="E30" s="86">
        <f>E32-E35</f>
        <v>888087</v>
      </c>
      <c r="F30" s="86">
        <f>F32-F35</f>
        <v>545692</v>
      </c>
      <c r="G30" s="86">
        <f>G32-G35</f>
        <v>477246</v>
      </c>
      <c r="H30" s="86">
        <f>H32-H35</f>
        <v>603715</v>
      </c>
      <c r="I30" s="86">
        <f>I31*'Revenue breakdown'!G3</f>
        <v>1512827.5851792605</v>
      </c>
      <c r="J30" s="86">
        <f>J31*'Revenue breakdown'!H3</f>
        <v>1533930.6197407229</v>
      </c>
      <c r="K30" s="86">
        <f>K31*'Revenue breakdown'!I3</f>
        <v>1654138.0177474155</v>
      </c>
      <c r="L30" s="86">
        <f>L31*'Revenue breakdown'!J3</f>
        <v>1792479.8606264016</v>
      </c>
      <c r="M30" s="86">
        <f>M31*'Revenue breakdown'!K3</f>
        <v>1913717.0520399516</v>
      </c>
      <c r="N30" s="86">
        <f>N31*'Revenue breakdown'!L3</f>
        <v>2078532.6113094131</v>
      </c>
    </row>
    <row r="31" spans="1:15" ht="16" thickBot="1" x14ac:dyDescent="0.25">
      <c r="A31" s="88" t="s">
        <v>644</v>
      </c>
      <c r="B31" s="18"/>
      <c r="C31" s="18"/>
      <c r="D31" s="101">
        <f>D30/'Revenue breakdown'!B3</f>
        <v>6.5225398711689864E-2</v>
      </c>
      <c r="E31" s="101">
        <f>E30/'Revenue breakdown'!C3</f>
        <v>5.3389992521323849E-2</v>
      </c>
      <c r="F31" s="101">
        <f>F30/'Revenue breakdown'!D3</f>
        <v>3.7219594804513097E-2</v>
      </c>
      <c r="G31" s="101">
        <f>G30/'Revenue breakdown'!E3</f>
        <v>2.1215684703787662E-2</v>
      </c>
      <c r="H31" s="101">
        <f>H30/'Revenue breakdown'!F3</f>
        <v>2.0013226235895409E-2</v>
      </c>
      <c r="I31" s="188">
        <f>AVERAGE(D31:H31)</f>
        <v>3.9412779395441973E-2</v>
      </c>
      <c r="J31" s="188">
        <f t="shared" ref="J31:N31" si="0">MEDIAN(E31:I31)</f>
        <v>3.7219594804513097E-2</v>
      </c>
      <c r="K31" s="188">
        <f t="shared" si="0"/>
        <v>3.7219594804513097E-2</v>
      </c>
      <c r="L31" s="188">
        <f t="shared" si="0"/>
        <v>3.7219594804513097E-2</v>
      </c>
      <c r="M31" s="188">
        <f t="shared" si="0"/>
        <v>3.7219594804513097E-2</v>
      </c>
      <c r="N31" s="188">
        <f t="shared" si="0"/>
        <v>3.7219594804513097E-2</v>
      </c>
      <c r="O31" s="101"/>
    </row>
    <row r="32" spans="1:15" ht="16" thickBot="1" x14ac:dyDescent="0.25">
      <c r="A32" s="15" t="s">
        <v>133</v>
      </c>
      <c r="B32" s="16">
        <v>852723</v>
      </c>
      <c r="C32" s="16">
        <v>1026478</v>
      </c>
      <c r="D32" s="16">
        <v>1118199</v>
      </c>
      <c r="E32" s="16">
        <v>1210446</v>
      </c>
      <c r="F32" s="16">
        <v>1430692</v>
      </c>
      <c r="G32" s="16">
        <v>2037246</v>
      </c>
      <c r="H32" s="16">
        <v>643715</v>
      </c>
      <c r="I32" s="18">
        <f>I33*'Revenue breakdown'!G3</f>
        <v>2667554.1564704697</v>
      </c>
      <c r="J32" s="18">
        <f>J33*'Revenue breakdown'!H3</f>
        <v>2899346.9060254507</v>
      </c>
      <c r="K32" s="18">
        <f>K33*'Revenue breakdown'!I3</f>
        <v>3105052.4941230915</v>
      </c>
      <c r="L32" s="18">
        <f>L33*'Revenue breakdown'!J3</f>
        <v>3097785.206995544</v>
      </c>
      <c r="M32" s="18">
        <f>M33*'Revenue breakdown'!K3</f>
        <v>3037460.4361112765</v>
      </c>
      <c r="N32" s="18">
        <f>N33*'Revenue breakdown'!L3</f>
        <v>3720529.3623129455</v>
      </c>
      <c r="O32" s="18"/>
    </row>
    <row r="33" spans="1:15" s="140" customFormat="1" ht="16" thickBot="1" x14ac:dyDescent="0.25">
      <c r="A33" s="88" t="s">
        <v>644</v>
      </c>
      <c r="B33" s="136"/>
      <c r="C33" s="136"/>
      <c r="D33" s="137">
        <f>D30/'Revenue breakdown'!B3</f>
        <v>6.5225398711689864E-2</v>
      </c>
      <c r="E33" s="137">
        <f>E32/'Revenue breakdown'!C3</f>
        <v>7.2769562990412387E-2</v>
      </c>
      <c r="F33" s="137">
        <f>F32/'Revenue breakdown'!D3</f>
        <v>9.7582109560078678E-2</v>
      </c>
      <c r="G33" s="137">
        <f>G32/'Revenue breakdown'!E3</f>
        <v>9.0564549100574127E-2</v>
      </c>
      <c r="H33" s="137">
        <f>H32/'Revenue breakdown'!F3</f>
        <v>2.1339231137936631E-2</v>
      </c>
      <c r="I33" s="138">
        <f>AVERAGE(D33:H33)</f>
        <v>6.9496170300138341E-2</v>
      </c>
      <c r="J33" s="138">
        <f t="shared" ref="J33:M33" si="1">AVERAGE(E33:I33)</f>
        <v>7.0350324617828031E-2</v>
      </c>
      <c r="K33" s="138">
        <f t="shared" si="1"/>
        <v>6.9866476943311162E-2</v>
      </c>
      <c r="L33" s="138">
        <f t="shared" si="1"/>
        <v>6.4323350419957653E-2</v>
      </c>
      <c r="M33" s="138">
        <f t="shared" si="1"/>
        <v>5.9075110683834364E-2</v>
      </c>
      <c r="N33" s="138">
        <f>AVERAGE(I33:M33)</f>
        <v>6.6622286593013919E-2</v>
      </c>
      <c r="O33" s="139"/>
    </row>
    <row r="34" spans="1:15" ht="16" thickBot="1" x14ac:dyDescent="0.25">
      <c r="A34" s="88" t="s">
        <v>598</v>
      </c>
      <c r="B34" s="16"/>
      <c r="C34" s="16"/>
      <c r="D34" s="90">
        <f>D32/C32-1</f>
        <v>8.9355056805893618E-2</v>
      </c>
      <c r="E34" s="90">
        <f t="shared" ref="E34:H34" si="2">E32/D32-1</f>
        <v>8.2496049450947462E-2</v>
      </c>
      <c r="F34" s="90">
        <f t="shared" si="2"/>
        <v>0.18195442010630791</v>
      </c>
      <c r="G34" s="90">
        <f t="shared" si="2"/>
        <v>0.42395847603816894</v>
      </c>
      <c r="H34" s="90">
        <f t="shared" si="2"/>
        <v>-0.68402686764386822</v>
      </c>
      <c r="I34" s="18"/>
      <c r="J34" s="18"/>
      <c r="K34" s="18"/>
      <c r="L34" s="18"/>
      <c r="M34" s="18"/>
      <c r="N34" s="18"/>
      <c r="O34" s="26"/>
    </row>
    <row r="35" spans="1:15" ht="16" thickBot="1" x14ac:dyDescent="0.25">
      <c r="A35" s="17" t="s">
        <v>134</v>
      </c>
      <c r="B35" s="18">
        <v>280150</v>
      </c>
      <c r="C35" s="18">
        <v>0</v>
      </c>
      <c r="D35" s="18">
        <v>120359</v>
      </c>
      <c r="E35" s="18">
        <v>322359</v>
      </c>
      <c r="F35" s="18">
        <v>885000</v>
      </c>
      <c r="G35" s="18">
        <v>1560000</v>
      </c>
      <c r="H35" s="18">
        <v>40000</v>
      </c>
      <c r="I35" s="18"/>
      <c r="J35" s="18"/>
      <c r="K35" s="18"/>
      <c r="L35" s="18"/>
      <c r="M35" s="18"/>
      <c r="N35" s="18"/>
    </row>
    <row r="36" spans="1:15" ht="16" thickBot="1" x14ac:dyDescent="0.25">
      <c r="A36" s="17" t="s">
        <v>135</v>
      </c>
      <c r="B36" s="18">
        <v>457434</v>
      </c>
      <c r="C36" s="18">
        <v>731616</v>
      </c>
      <c r="D36" s="18">
        <v>777800</v>
      </c>
      <c r="E36" s="18">
        <v>627971</v>
      </c>
      <c r="F36" s="18">
        <v>431093</v>
      </c>
      <c r="G36" s="18">
        <v>404269</v>
      </c>
      <c r="H36" s="18">
        <v>521235</v>
      </c>
      <c r="I36" s="89"/>
      <c r="J36" s="16"/>
      <c r="K36" s="16"/>
      <c r="L36" s="16"/>
      <c r="M36" s="16"/>
      <c r="N36" s="16"/>
    </row>
    <row r="37" spans="1:15" s="76" customFormat="1" ht="16" thickBot="1" x14ac:dyDescent="0.25">
      <c r="A37" s="87" t="s">
        <v>136</v>
      </c>
      <c r="B37" s="136">
        <v>1948265</v>
      </c>
      <c r="C37" s="136">
        <v>1723478</v>
      </c>
      <c r="D37" s="136">
        <v>2506219</v>
      </c>
      <c r="E37" s="136">
        <v>3383542</v>
      </c>
      <c r="F37" s="136">
        <v>1826718</v>
      </c>
      <c r="G37" s="136">
        <v>4930359</v>
      </c>
      <c r="H37" s="136">
        <v>6483828</v>
      </c>
      <c r="I37" s="86">
        <f t="shared" ref="I37:M37" si="3">SUM(I40,I43)</f>
        <v>7819825.0120871011</v>
      </c>
      <c r="J37" s="86">
        <f t="shared" si="3"/>
        <v>8224217.6671113083</v>
      </c>
      <c r="K37" s="86">
        <f t="shared" si="3"/>
        <v>8861137.9132367671</v>
      </c>
      <c r="L37" s="86">
        <f t="shared" si="3"/>
        <v>9022495.3895875439</v>
      </c>
      <c r="M37" s="86">
        <f t="shared" si="3"/>
        <v>9192019.1891799606</v>
      </c>
      <c r="N37" s="86">
        <f>SUM(N40,N43)</f>
        <v>9649471.5403567888</v>
      </c>
    </row>
    <row r="38" spans="1:15" s="76" customFormat="1" ht="16" thickBot="1" x14ac:dyDescent="0.25">
      <c r="A38" s="88" t="s">
        <v>614</v>
      </c>
      <c r="B38" s="136"/>
      <c r="C38" s="136"/>
      <c r="D38" s="136"/>
      <c r="E38" s="137">
        <f>E37/D37-1</f>
        <v>0.35005839473725153</v>
      </c>
      <c r="F38" s="137">
        <f t="shared" ref="F38:H38" si="4">F37/E37-1</f>
        <v>-0.46011664699300314</v>
      </c>
      <c r="G38" s="137">
        <f t="shared" si="4"/>
        <v>1.699025793800685</v>
      </c>
      <c r="H38" s="137">
        <f t="shared" si="4"/>
        <v>0.31508232970459149</v>
      </c>
      <c r="I38" s="86"/>
      <c r="J38" s="86"/>
      <c r="K38" s="86"/>
      <c r="L38" s="86"/>
      <c r="M38" s="86"/>
      <c r="N38" s="86"/>
    </row>
    <row r="39" spans="1:15" ht="16" thickBot="1" x14ac:dyDescent="0.25">
      <c r="A39" s="88" t="s">
        <v>648</v>
      </c>
      <c r="B39" s="16"/>
      <c r="C39" s="16"/>
      <c r="D39" s="91">
        <f>D37/'Revenue breakdown'!B3</f>
        <v>0.16382299119479343</v>
      </c>
      <c r="E39" s="91">
        <f>E37/'Revenue breakdown'!C3</f>
        <v>0.20341169511048482</v>
      </c>
      <c r="F39" s="91">
        <f>F37/'Revenue breakdown'!D3</f>
        <v>0.12459355054153361</v>
      </c>
      <c r="G39" s="91">
        <f>G37/'Revenue breakdown'!E3</f>
        <v>0.21917615238363827</v>
      </c>
      <c r="H39" s="91">
        <f>H37/'Revenue breakdown'!F3</f>
        <v>0.21493969279980332</v>
      </c>
      <c r="I39" s="91">
        <f>I37/'Revenue breakdown'!G3</f>
        <v>0.20372515753394888</v>
      </c>
      <c r="J39" s="91">
        <f>J37/'Revenue breakdown'!H3</f>
        <v>0.19955403798233107</v>
      </c>
      <c r="K39" s="91">
        <f>K37/'Revenue breakdown'!I3</f>
        <v>0.19938358171992779</v>
      </c>
      <c r="L39" s="91">
        <f>L37/'Revenue breakdown'!J3</f>
        <v>0.1873458273660504</v>
      </c>
      <c r="M39" s="91">
        <f>M37/'Revenue breakdown'!K3</f>
        <v>0.17877419720532689</v>
      </c>
      <c r="N39" s="91">
        <f>N37/'Revenue breakdown'!L3</f>
        <v>0.17278988977878348</v>
      </c>
    </row>
    <row r="40" spans="1:15" ht="16" thickBot="1" x14ac:dyDescent="0.25">
      <c r="A40" s="92" t="s">
        <v>615</v>
      </c>
      <c r="B40" s="16"/>
      <c r="C40" s="16"/>
      <c r="D40" s="16">
        <f>D37*'Revenue breakdown'!B8</f>
        <v>2449700.0680377963</v>
      </c>
      <c r="E40" s="16">
        <f>E37*'Revenue breakdown'!C8</f>
        <v>3279642.5607246859</v>
      </c>
      <c r="F40" s="16">
        <f>F37*'Revenue breakdown'!D8</f>
        <v>1678988.673058409</v>
      </c>
      <c r="G40" s="16">
        <f>G37*'Revenue breakdown'!E8</f>
        <v>4067489.2275562068</v>
      </c>
      <c r="H40" s="16">
        <f>H37*'Revenue breakdown'!F8</f>
        <v>4446850.5496476628</v>
      </c>
      <c r="I40" s="18">
        <f>I41*'Revenue breakdown'!G9</f>
        <v>5144009.353730699</v>
      </c>
      <c r="J40" s="18">
        <f>J41*'Revenue breakdown'!H9</f>
        <v>5309698.0110443821</v>
      </c>
      <c r="K40" s="18">
        <f>K41*'Revenue breakdown'!I9</f>
        <v>5676725.9945350746</v>
      </c>
      <c r="L40" s="18">
        <f>L41*'Revenue breakdown'!J9</f>
        <v>5801236.4140276471</v>
      </c>
      <c r="M40" s="18">
        <f>M41*'Revenue breakdown'!K9</f>
        <v>6048683.3774015121</v>
      </c>
      <c r="N40" s="18">
        <f>N41*'Revenue breakdown'!L9</f>
        <v>6369454.7234151531</v>
      </c>
    </row>
    <row r="41" spans="1:15" s="95" customFormat="1" ht="16" thickBot="1" x14ac:dyDescent="0.25">
      <c r="A41" s="93" t="s">
        <v>616</v>
      </c>
      <c r="B41" s="94"/>
      <c r="C41" s="94"/>
      <c r="D41" s="94">
        <f>D40/'Revenue breakdown'!B9</f>
        <v>4596.0601651741017</v>
      </c>
      <c r="E41" s="94">
        <f>E40/'Revenue breakdown'!C9</f>
        <v>5530.5945374783914</v>
      </c>
      <c r="F41" s="94">
        <f>F40/'Revenue breakdown'!D9</f>
        <v>2821.8297026191749</v>
      </c>
      <c r="G41" s="94">
        <f>G40/'Revenue breakdown'!E9</f>
        <v>6286.6912326989286</v>
      </c>
      <c r="H41" s="94">
        <f>H40/'Revenue breakdown'!F9</f>
        <v>5657.5706738519884</v>
      </c>
      <c r="I41" s="94">
        <f>H41*(1+I42)</f>
        <v>5949.6766785394475</v>
      </c>
      <c r="J41" s="94">
        <f t="shared" ref="J41:N41" si="5">I41*(1+J42)</f>
        <v>5805.5730912339177</v>
      </c>
      <c r="K41" s="94">
        <f t="shared" si="5"/>
        <v>5885.140179707173</v>
      </c>
      <c r="L41" s="94">
        <f t="shared" si="5"/>
        <v>5854.1987255935146</v>
      </c>
      <c r="M41" s="94">
        <f t="shared" si="5"/>
        <v>5878.9260953048579</v>
      </c>
      <c r="N41" s="94">
        <f t="shared" si="5"/>
        <v>5875.887611139804</v>
      </c>
    </row>
    <row r="42" spans="1:15" s="95" customFormat="1" ht="16" thickBot="1" x14ac:dyDescent="0.25">
      <c r="A42" s="93" t="s">
        <v>614</v>
      </c>
      <c r="B42" s="94"/>
      <c r="C42" s="94"/>
      <c r="D42" s="94"/>
      <c r="E42" s="128">
        <f>(E41-D41)/D41</f>
        <v>0.20333379867077719</v>
      </c>
      <c r="F42" s="128">
        <f>(F41-E41)/E41</f>
        <v>-0.48977823568571444</v>
      </c>
      <c r="G42" s="128">
        <f>(G41-F41)/F41</f>
        <v>1.2278776167334717</v>
      </c>
      <c r="H42" s="128">
        <f>(H41-G41)/G41</f>
        <v>-0.100071808135685</v>
      </c>
      <c r="I42" s="129">
        <f>MEDIAN(E42:H42)</f>
        <v>5.1630995267546109E-2</v>
      </c>
      <c r="J42" s="129">
        <f t="shared" ref="J42:N42" si="6">MEDIAN(F42:I42)</f>
        <v>-2.4220406434069447E-2</v>
      </c>
      <c r="K42" s="129">
        <f t="shared" si="6"/>
        <v>1.3705294416738331E-2</v>
      </c>
      <c r="L42" s="129">
        <f t="shared" si="6"/>
        <v>-5.2575560086655579E-3</v>
      </c>
      <c r="M42" s="129">
        <f t="shared" si="6"/>
        <v>4.2238692040363866E-3</v>
      </c>
      <c r="N42" s="129">
        <f t="shared" si="6"/>
        <v>-5.1684340231458563E-4</v>
      </c>
    </row>
    <row r="43" spans="1:15" ht="16" thickBot="1" x14ac:dyDescent="0.25">
      <c r="A43" s="92" t="s">
        <v>617</v>
      </c>
      <c r="B43" s="16"/>
      <c r="C43" s="16"/>
      <c r="D43" s="16">
        <f>D37*'Revenue breakdown'!B15</f>
        <v>56518.931962203736</v>
      </c>
      <c r="E43" s="16">
        <f>E37*'Revenue breakdown'!C15</f>
        <v>103899.23586361877</v>
      </c>
      <c r="F43" s="16">
        <f>F37*'Revenue breakdown'!D15</f>
        <v>148370.98372687987</v>
      </c>
      <c r="G43" s="16">
        <f>G37*'Revenue breakdown'!E15</f>
        <v>871704.76314637752</v>
      </c>
      <c r="H43" s="16">
        <f>H37*'Revenue breakdown'!F15</f>
        <v>2062548.8256047301</v>
      </c>
      <c r="I43" s="18">
        <f>I44*'Revenue breakdown'!G16</f>
        <v>2675815.6583564016</v>
      </c>
      <c r="J43" s="18">
        <f>J44*'Revenue breakdown'!H16</f>
        <v>2914519.6560669262</v>
      </c>
      <c r="K43" s="18">
        <f>K44*'Revenue breakdown'!I16</f>
        <v>3184411.918701692</v>
      </c>
      <c r="L43" s="18">
        <f>L44*'Revenue breakdown'!J16</f>
        <v>3221258.9755598973</v>
      </c>
      <c r="M43" s="18">
        <f>M44*'Revenue breakdown'!K16</f>
        <v>3143335.8117784476</v>
      </c>
      <c r="N43" s="18">
        <f>N44*'Revenue breakdown'!L16</f>
        <v>3280016.8169416366</v>
      </c>
    </row>
    <row r="44" spans="1:15" s="95" customFormat="1" ht="16" thickBot="1" x14ac:dyDescent="0.25">
      <c r="A44" s="93" t="s">
        <v>618</v>
      </c>
      <c r="B44" s="94"/>
      <c r="C44" s="94"/>
      <c r="D44" s="94">
        <f>D43/'Revenue breakdown'!B16</f>
        <v>1883.9643987401246</v>
      </c>
      <c r="E44" s="94">
        <f>E43/'Revenue breakdown'!C16</f>
        <v>1527.9299391708644</v>
      </c>
      <c r="F44" s="94">
        <f>F43/'Revenue breakdown'!D16</f>
        <v>741.85491863439938</v>
      </c>
      <c r="G44" s="94">
        <f>G43/'Revenue breakdown'!E16</f>
        <v>2179.2619078659436</v>
      </c>
      <c r="H44" s="94">
        <f>H43/'Revenue breakdown'!F16</f>
        <v>2062.5488256047302</v>
      </c>
      <c r="I44" s="94">
        <f>AVERAGE(D44:H44)</f>
        <v>1679.1119980032126</v>
      </c>
      <c r="J44" s="94">
        <f t="shared" ref="J44:N44" si="7">I44*(1+J45)</f>
        <v>1532.3365139565497</v>
      </c>
      <c r="K44" s="94">
        <f t="shared" si="7"/>
        <v>1424.3306885487616</v>
      </c>
      <c r="L44" s="94">
        <f t="shared" si="7"/>
        <v>1311.8819406077869</v>
      </c>
      <c r="M44" s="94">
        <f t="shared" si="7"/>
        <v>1202.7589140221305</v>
      </c>
      <c r="N44" s="94">
        <f t="shared" si="7"/>
        <v>1105.2578597959578</v>
      </c>
    </row>
    <row r="45" spans="1:15" s="95" customFormat="1" ht="16" thickBot="1" x14ac:dyDescent="0.25">
      <c r="A45" s="93" t="s">
        <v>614</v>
      </c>
      <c r="B45" s="94"/>
      <c r="C45" s="94"/>
      <c r="D45" s="94"/>
      <c r="E45" s="128">
        <f>(E44-D44)/D44</f>
        <v>-0.18898152205389518</v>
      </c>
      <c r="F45" s="128">
        <f>(F44-E44)/E44</f>
        <v>-0.51447059212874047</v>
      </c>
      <c r="G45" s="128">
        <f t="shared" ref="G45" si="8">(G44-F44)/F44</f>
        <v>1.9375850360034164</v>
      </c>
      <c r="H45" s="128">
        <f>(H44-G44)/G44</f>
        <v>-5.3556243900718434E-2</v>
      </c>
      <c r="I45" s="129">
        <f>MEDIAN(E45:H45)</f>
        <v>-0.12126888297730681</v>
      </c>
      <c r="J45" s="129">
        <f>MEDIAN(F45:I45)</f>
        <v>-8.741256343901263E-2</v>
      </c>
      <c r="K45" s="129">
        <f t="shared" ref="K45:M45" si="9">MEDIAN(G45:J45)</f>
        <v>-7.0484403669865525E-2</v>
      </c>
      <c r="L45" s="129">
        <f t="shared" si="9"/>
        <v>-7.8948483554439078E-2</v>
      </c>
      <c r="M45" s="129">
        <f t="shared" si="9"/>
        <v>-8.3180523496725861E-2</v>
      </c>
      <c r="N45" s="129">
        <f>MEDIAN(J45:M45)</f>
        <v>-8.1064503525582476E-2</v>
      </c>
    </row>
    <row r="46" spans="1:15" ht="16" thickBot="1" x14ac:dyDescent="0.25">
      <c r="A46" s="17" t="s">
        <v>137</v>
      </c>
      <c r="B46" s="18">
        <v>1909828</v>
      </c>
      <c r="C46" s="18">
        <v>1679782</v>
      </c>
      <c r="D46" s="18">
        <v>2507175</v>
      </c>
      <c r="E46" s="18">
        <v>3380942</v>
      </c>
      <c r="F46" s="18">
        <v>1847193</v>
      </c>
      <c r="G46" s="18">
        <v>4933953</v>
      </c>
      <c r="H46" s="18">
        <v>6487575</v>
      </c>
      <c r="I46" s="18"/>
      <c r="J46" s="18"/>
      <c r="K46" s="18"/>
      <c r="L46" s="18"/>
      <c r="M46" s="18"/>
      <c r="N46" s="18"/>
    </row>
    <row r="47" spans="1:15" ht="16" thickBot="1" x14ac:dyDescent="0.25">
      <c r="A47" s="17" t="s">
        <v>138</v>
      </c>
      <c r="B47" s="18">
        <v>38437</v>
      </c>
      <c r="C47" s="18">
        <v>43696</v>
      </c>
      <c r="D47" s="18">
        <v>-956</v>
      </c>
      <c r="E47" s="18">
        <v>2600</v>
      </c>
      <c r="F47" s="18">
        <v>-20476</v>
      </c>
      <c r="G47" s="18">
        <v>-3594</v>
      </c>
      <c r="H47" s="18">
        <v>-3747</v>
      </c>
      <c r="I47" s="18"/>
      <c r="J47" s="18"/>
      <c r="K47" s="18"/>
      <c r="L47" s="18"/>
      <c r="M47" s="18"/>
      <c r="N47" s="18"/>
    </row>
    <row r="48" spans="1:15" ht="16" thickBot="1" x14ac:dyDescent="0.25">
      <c r="A48" s="13" t="s">
        <v>81</v>
      </c>
      <c r="B48" s="14">
        <v>149918</v>
      </c>
      <c r="C48" s="14">
        <v>121298</v>
      </c>
      <c r="D48" s="14">
        <v>238333</v>
      </c>
      <c r="E48" s="14">
        <v>214958</v>
      </c>
      <c r="F48" s="14">
        <v>212927</v>
      </c>
      <c r="G48" s="14">
        <v>328617</v>
      </c>
      <c r="H48" s="14">
        <v>334699</v>
      </c>
      <c r="I48" s="18">
        <f>AVERAGE(C48:H48)</f>
        <v>241805.33333333334</v>
      </c>
      <c r="J48" s="18">
        <f t="shared" ref="J48:N48" si="10">AVERAGE(D48:I48)</f>
        <v>261889.88888888888</v>
      </c>
      <c r="K48" s="18">
        <f t="shared" si="10"/>
        <v>265816.03703703702</v>
      </c>
      <c r="L48" s="18">
        <f t="shared" si="10"/>
        <v>274292.37654320983</v>
      </c>
      <c r="M48" s="18">
        <f t="shared" si="10"/>
        <v>284519.93930041156</v>
      </c>
      <c r="N48" s="18">
        <f t="shared" si="10"/>
        <v>277170.42918381345</v>
      </c>
    </row>
    <row r="49" spans="1:15" ht="16" thickBot="1" x14ac:dyDescent="0.25">
      <c r="A49" s="13" t="s">
        <v>139</v>
      </c>
      <c r="B49" s="14" t="s">
        <v>72</v>
      </c>
      <c r="C49" s="14" t="s">
        <v>72</v>
      </c>
      <c r="D49" s="14" t="s">
        <v>72</v>
      </c>
      <c r="E49" s="14" t="s">
        <v>72</v>
      </c>
      <c r="F49" s="14" t="s">
        <v>72</v>
      </c>
      <c r="G49" s="14" t="s">
        <v>72</v>
      </c>
      <c r="H49" s="14" t="s">
        <v>72</v>
      </c>
      <c r="I49" s="18"/>
      <c r="J49" s="18"/>
      <c r="K49" s="18"/>
      <c r="L49" s="18"/>
      <c r="M49" s="18"/>
      <c r="N49" s="18"/>
    </row>
    <row r="50" spans="1:15" ht="16" thickBot="1" x14ac:dyDescent="0.25">
      <c r="A50" s="13"/>
      <c r="B50" s="14"/>
      <c r="C50" s="14"/>
      <c r="D50" s="100">
        <f>(D37-C37)/C37</f>
        <v>0.45416361566553215</v>
      </c>
      <c r="E50" s="100">
        <f>(E37-D37)/D37</f>
        <v>0.35005839473725159</v>
      </c>
      <c r="F50" s="100">
        <f t="shared" ref="F50:H50" si="11">(F37-E37)/E37</f>
        <v>-0.4601166469930032</v>
      </c>
      <c r="G50" s="100">
        <f t="shared" si="11"/>
        <v>1.6990257938006852</v>
      </c>
      <c r="H50" s="100">
        <f t="shared" si="11"/>
        <v>0.31508232970459149</v>
      </c>
      <c r="I50" s="102"/>
      <c r="J50" s="102"/>
      <c r="K50" s="102"/>
      <c r="L50" s="102"/>
      <c r="M50" s="102">
        <f t="shared" ref="M50" si="12">H50/G50-1</f>
        <v>-0.81455117935569477</v>
      </c>
      <c r="N50" s="102"/>
    </row>
    <row r="51" spans="1:15" s="98" customFormat="1" ht="16" thickBot="1" x14ac:dyDescent="0.25">
      <c r="A51" s="96" t="s">
        <v>619</v>
      </c>
      <c r="B51" s="97"/>
      <c r="C51" s="97">
        <f>SUM(C27,C32,C37,C48)</f>
        <v>3166116</v>
      </c>
      <c r="D51" s="97">
        <f>D30+D37</f>
        <v>3504059</v>
      </c>
      <c r="E51" s="97">
        <f t="shared" ref="E51:N51" si="13">E30+E37</f>
        <v>4271629</v>
      </c>
      <c r="F51" s="97">
        <f t="shared" si="13"/>
        <v>2372410</v>
      </c>
      <c r="G51" s="97">
        <f t="shared" si="13"/>
        <v>5407605</v>
      </c>
      <c r="H51" s="97">
        <f t="shared" si="13"/>
        <v>7087543</v>
      </c>
      <c r="I51" s="97">
        <f t="shared" si="13"/>
        <v>9332652.5972663611</v>
      </c>
      <c r="J51" s="97">
        <f t="shared" si="13"/>
        <v>9758148.2868520319</v>
      </c>
      <c r="K51" s="97">
        <f t="shared" si="13"/>
        <v>10515275.930984182</v>
      </c>
      <c r="L51" s="97">
        <f t="shared" si="13"/>
        <v>10814975.250213945</v>
      </c>
      <c r="M51" s="97">
        <f t="shared" si="13"/>
        <v>11105736.241219912</v>
      </c>
      <c r="N51" s="97">
        <f t="shared" si="13"/>
        <v>11728004.151666202</v>
      </c>
      <c r="O51" s="97"/>
    </row>
    <row r="52" spans="1:15" ht="16" thickBot="1" x14ac:dyDescent="0.25">
      <c r="A52" s="13" t="s">
        <v>140</v>
      </c>
      <c r="B52" s="14">
        <v>4408713</v>
      </c>
      <c r="C52" s="14">
        <v>3509330</v>
      </c>
      <c r="D52" s="14">
        <v>4815269</v>
      </c>
      <c r="E52" s="14">
        <v>6173239</v>
      </c>
      <c r="F52" s="14">
        <v>4959999</v>
      </c>
      <c r="G52" s="14">
        <v>10221932</v>
      </c>
      <c r="H52" s="14">
        <v>9326797</v>
      </c>
      <c r="I52" s="14"/>
      <c r="J52" s="14"/>
      <c r="K52" s="14"/>
      <c r="L52" s="14"/>
      <c r="M52" s="14"/>
      <c r="N52" s="14"/>
    </row>
    <row r="53" spans="1:15" ht="16" hidden="1" thickBot="1" x14ac:dyDescent="0.25">
      <c r="A53" s="74" t="s">
        <v>620</v>
      </c>
      <c r="B53" s="75"/>
      <c r="C53" s="75"/>
      <c r="D53" s="81">
        <f t="shared" ref="D53:N53" si="14">(D27-C27)/C27</f>
        <v>-0.25375599432955076</v>
      </c>
      <c r="E53" s="81">
        <f t="shared" si="14"/>
        <v>0.18213134944259882</v>
      </c>
      <c r="F53" s="81">
        <f t="shared" si="14"/>
        <v>-0.55942948311323837</v>
      </c>
      <c r="G53" s="81">
        <f t="shared" si="14"/>
        <v>-0.36319688653478649</v>
      </c>
      <c r="H53" s="81">
        <f t="shared" si="14"/>
        <v>0.13020540718308507</v>
      </c>
      <c r="I53" s="103">
        <f t="shared" si="14"/>
        <v>3.0781824814664351</v>
      </c>
      <c r="J53" s="81">
        <f t="shared" si="14"/>
        <v>-6.4023454911388528E-2</v>
      </c>
      <c r="K53" s="81">
        <f t="shared" si="14"/>
        <v>-0.14745530646779365</v>
      </c>
      <c r="L53" s="81">
        <f t="shared" si="14"/>
        <v>1.9865404662464729E-2</v>
      </c>
      <c r="M53" s="81">
        <f t="shared" si="14"/>
        <v>0.15929247966056026</v>
      </c>
      <c r="N53" s="81">
        <f t="shared" si="14"/>
        <v>0.20711676586149066</v>
      </c>
    </row>
    <row r="54" spans="1:15" ht="16" hidden="1" thickBot="1" x14ac:dyDescent="0.25">
      <c r="A54" s="74" t="s">
        <v>613</v>
      </c>
      <c r="B54" s="81">
        <f>B27/'FPT Digital Retail JSC | Income'!C23</f>
        <v>1.0608804536561028E-2</v>
      </c>
      <c r="C54" s="81">
        <f>C27/'FPT Digital Retail JSC | Income'!D23</f>
        <v>2.2428909866987562E-2</v>
      </c>
      <c r="D54" s="81">
        <f>D27/'Revenue breakdown'!B3</f>
        <v>1.4383199217431178E-2</v>
      </c>
      <c r="E54" s="81">
        <f>E27/'Revenue breakdown'!C3</f>
        <v>1.5637587201123484E-2</v>
      </c>
      <c r="F54" s="81">
        <f>F27/'Revenue breakdown'!D3</f>
        <v>7.8163659078791629E-3</v>
      </c>
      <c r="G54" s="81">
        <f>G27/'Revenue breakdown'!E3</f>
        <v>3.2441487673617216E-3</v>
      </c>
      <c r="H54" s="81">
        <f>H27/'Revenue breakdown'!F3</f>
        <v>2.7341889578864488E-3</v>
      </c>
      <c r="I54" s="82">
        <f>AVERAGE(D54:H54)</f>
        <v>8.7630980103363988E-3</v>
      </c>
      <c r="J54" s="82">
        <f t="shared" ref="J54:N54" si="15">AVERAGE(E54:I54)</f>
        <v>7.6390777689174429E-3</v>
      </c>
      <c r="K54" s="82">
        <f t="shared" si="15"/>
        <v>6.0393758824762349E-3</v>
      </c>
      <c r="L54" s="82">
        <f t="shared" si="15"/>
        <v>5.6839778773956498E-3</v>
      </c>
      <c r="M54" s="82">
        <f t="shared" si="15"/>
        <v>6.1719436994024345E-3</v>
      </c>
      <c r="N54" s="82">
        <f t="shared" si="15"/>
        <v>6.8594946477056312E-3</v>
      </c>
    </row>
    <row r="55" spans="1:15" ht="16" thickBot="1" x14ac:dyDescent="0.25">
      <c r="A55" s="15" t="s">
        <v>141</v>
      </c>
      <c r="B55" s="16">
        <v>3898</v>
      </c>
      <c r="C55" s="16">
        <v>9323</v>
      </c>
      <c r="D55" s="16">
        <v>9344</v>
      </c>
      <c r="E55" s="16">
        <v>11191</v>
      </c>
      <c r="F55" s="16">
        <v>14160</v>
      </c>
      <c r="G55" s="16">
        <v>29396</v>
      </c>
      <c r="H55" s="16">
        <v>980978</v>
      </c>
      <c r="I55" s="12"/>
      <c r="J55" s="12"/>
      <c r="K55" s="12"/>
      <c r="L55" s="12"/>
      <c r="M55" s="12"/>
      <c r="N55" s="12"/>
    </row>
    <row r="56" spans="1:15" ht="16" thickBot="1" x14ac:dyDescent="0.25">
      <c r="A56" s="17" t="s">
        <v>142</v>
      </c>
      <c r="B56" s="18" t="s">
        <v>72</v>
      </c>
      <c r="C56" s="18">
        <v>4620</v>
      </c>
      <c r="D56" s="18">
        <v>4620</v>
      </c>
      <c r="E56" s="18">
        <v>4620</v>
      </c>
      <c r="F56" s="18">
        <v>4620</v>
      </c>
      <c r="G56" s="18">
        <v>17239</v>
      </c>
      <c r="H56" s="18">
        <v>943718</v>
      </c>
      <c r="I56" s="16"/>
      <c r="J56" s="16"/>
      <c r="K56" s="16"/>
      <c r="L56" s="16"/>
      <c r="M56" s="16"/>
      <c r="N56" s="16"/>
    </row>
    <row r="57" spans="1:15" ht="16" thickBot="1" x14ac:dyDescent="0.25">
      <c r="A57" s="17" t="s">
        <v>143</v>
      </c>
      <c r="B57" s="18" t="s">
        <v>72</v>
      </c>
      <c r="C57" s="18">
        <v>4340</v>
      </c>
      <c r="D57" s="18">
        <v>4362</v>
      </c>
      <c r="E57" s="18">
        <v>5988</v>
      </c>
      <c r="F57" s="18">
        <v>7528</v>
      </c>
      <c r="G57" s="18">
        <v>10053</v>
      </c>
      <c r="H57" s="18">
        <v>21092</v>
      </c>
      <c r="I57" s="18"/>
      <c r="J57" s="18"/>
      <c r="K57" s="18"/>
      <c r="L57" s="18"/>
      <c r="M57" s="18"/>
      <c r="N57" s="18"/>
    </row>
    <row r="58" spans="1:15" ht="16" thickBot="1" x14ac:dyDescent="0.25">
      <c r="A58" s="17" t="s">
        <v>144</v>
      </c>
      <c r="B58" s="18" t="s">
        <v>72</v>
      </c>
      <c r="C58" s="18" t="s">
        <v>72</v>
      </c>
      <c r="D58" s="18" t="s">
        <v>72</v>
      </c>
      <c r="E58" s="18" t="s">
        <v>72</v>
      </c>
      <c r="F58" s="18" t="s">
        <v>72</v>
      </c>
      <c r="G58" s="18">
        <v>91</v>
      </c>
      <c r="H58" s="18">
        <v>1796</v>
      </c>
      <c r="I58" s="16"/>
      <c r="J58" s="16"/>
      <c r="K58" s="16"/>
      <c r="L58" s="16"/>
      <c r="M58" s="16"/>
      <c r="N58" s="16"/>
    </row>
    <row r="59" spans="1:15" ht="16" thickBot="1" x14ac:dyDescent="0.25">
      <c r="A59" s="17" t="s">
        <v>145</v>
      </c>
      <c r="B59" s="18">
        <v>3898</v>
      </c>
      <c r="C59" s="18">
        <v>363</v>
      </c>
      <c r="D59" s="18">
        <v>363</v>
      </c>
      <c r="E59" s="18">
        <v>583</v>
      </c>
      <c r="F59" s="18">
        <v>2013</v>
      </c>
      <c r="G59" s="18">
        <v>2013</v>
      </c>
      <c r="H59" s="18">
        <v>14372</v>
      </c>
      <c r="I59" s="18"/>
      <c r="J59" s="18"/>
      <c r="K59" s="18"/>
      <c r="L59" s="18"/>
      <c r="M59" s="18"/>
      <c r="N59" s="18"/>
    </row>
    <row r="60" spans="1:15" ht="16" thickBot="1" x14ac:dyDescent="0.25">
      <c r="A60" s="15" t="s">
        <v>146</v>
      </c>
      <c r="B60" s="16">
        <v>561</v>
      </c>
      <c r="C60" s="16">
        <v>5488</v>
      </c>
      <c r="D60" s="16">
        <v>5154</v>
      </c>
      <c r="E60" s="16">
        <v>6615</v>
      </c>
      <c r="F60" s="16">
        <v>8708</v>
      </c>
      <c r="G60" s="16">
        <v>16438</v>
      </c>
      <c r="H60" s="16">
        <v>676924</v>
      </c>
      <c r="I60" s="18"/>
      <c r="J60" s="18"/>
      <c r="K60" s="18"/>
      <c r="L60" s="18"/>
      <c r="M60" s="18"/>
      <c r="N60" s="18"/>
    </row>
    <row r="61" spans="1:15" ht="16" thickBot="1" x14ac:dyDescent="0.25">
      <c r="A61" s="17" t="s">
        <v>147</v>
      </c>
      <c r="B61" s="18">
        <v>-3337</v>
      </c>
      <c r="C61" s="18">
        <v>-3835</v>
      </c>
      <c r="D61" s="18">
        <v>-4190</v>
      </c>
      <c r="E61" s="18">
        <v>-4576</v>
      </c>
      <c r="F61" s="18">
        <v>-5452</v>
      </c>
      <c r="G61" s="18">
        <v>-12958</v>
      </c>
      <c r="H61" s="18">
        <v>-304054</v>
      </c>
      <c r="I61" s="18"/>
      <c r="J61" s="18"/>
      <c r="K61" s="18"/>
      <c r="L61" s="18"/>
      <c r="M61" s="18"/>
      <c r="N61" s="18"/>
    </row>
    <row r="62" spans="1:15" ht="16" thickBot="1" x14ac:dyDescent="0.25">
      <c r="A62" s="13" t="s">
        <v>148</v>
      </c>
      <c r="B62" s="14" t="s">
        <v>72</v>
      </c>
      <c r="C62" s="14" t="s">
        <v>72</v>
      </c>
      <c r="D62" s="14" t="s">
        <v>72</v>
      </c>
      <c r="E62" s="14" t="s">
        <v>72</v>
      </c>
      <c r="F62" s="14" t="s">
        <v>72</v>
      </c>
      <c r="G62" s="14" t="s">
        <v>72</v>
      </c>
      <c r="H62" s="14" t="s">
        <v>72</v>
      </c>
      <c r="I62" s="18"/>
      <c r="J62" s="18"/>
      <c r="K62" s="18"/>
      <c r="L62" s="18"/>
      <c r="M62" s="18"/>
      <c r="N62" s="18"/>
    </row>
    <row r="63" spans="1:15" ht="16" thickBot="1" x14ac:dyDescent="0.25">
      <c r="A63" s="15" t="s">
        <v>149</v>
      </c>
      <c r="B63" s="16">
        <v>1135</v>
      </c>
      <c r="C63" s="16">
        <v>40843</v>
      </c>
      <c r="D63" s="16">
        <v>40438</v>
      </c>
      <c r="E63" s="16">
        <v>41956</v>
      </c>
      <c r="F63" s="16">
        <v>41920</v>
      </c>
      <c r="G63" s="16">
        <v>155606</v>
      </c>
      <c r="H63" s="16">
        <v>172142</v>
      </c>
      <c r="I63" s="14"/>
      <c r="J63" s="14"/>
      <c r="K63" s="14"/>
      <c r="L63" s="14"/>
      <c r="M63" s="14"/>
      <c r="N63" s="14"/>
    </row>
    <row r="64" spans="1:15" ht="16" thickBot="1" x14ac:dyDescent="0.25">
      <c r="A64" s="17" t="s">
        <v>150</v>
      </c>
      <c r="B64" s="18">
        <v>4188</v>
      </c>
      <c r="C64" s="18">
        <v>44482</v>
      </c>
      <c r="D64" s="18">
        <v>44482</v>
      </c>
      <c r="E64" s="18">
        <v>46416</v>
      </c>
      <c r="F64" s="18">
        <v>46876</v>
      </c>
      <c r="G64" s="18">
        <v>162788</v>
      </c>
      <c r="H64" s="18">
        <v>183894</v>
      </c>
      <c r="I64" s="19"/>
      <c r="J64" s="19"/>
      <c r="K64" s="19"/>
      <c r="L64" s="19"/>
      <c r="M64" s="19"/>
      <c r="N64" s="19"/>
    </row>
    <row r="65" spans="1:14" ht="16" thickBot="1" x14ac:dyDescent="0.25">
      <c r="A65" s="17" t="s">
        <v>151</v>
      </c>
      <c r="B65" s="18">
        <v>-3052</v>
      </c>
      <c r="C65" s="18">
        <v>-3639</v>
      </c>
      <c r="D65" s="18">
        <v>-4044</v>
      </c>
      <c r="E65" s="18">
        <v>-4459</v>
      </c>
      <c r="F65" s="18">
        <v>-4956</v>
      </c>
      <c r="G65" s="18">
        <v>-7181</v>
      </c>
      <c r="H65" s="18">
        <v>-11752</v>
      </c>
      <c r="I65" s="12"/>
      <c r="J65" s="12"/>
      <c r="K65" s="12"/>
      <c r="L65" s="12"/>
      <c r="M65" s="12"/>
      <c r="N65" s="12"/>
    </row>
    <row r="66" spans="1:14" ht="16" thickBot="1" x14ac:dyDescent="0.25">
      <c r="A66" s="13" t="s">
        <v>152</v>
      </c>
      <c r="B66" s="14" t="s">
        <v>72</v>
      </c>
      <c r="C66" s="14" t="s">
        <v>72</v>
      </c>
      <c r="D66" s="14" t="s">
        <v>72</v>
      </c>
      <c r="E66" s="14" t="s">
        <v>72</v>
      </c>
      <c r="F66" s="14" t="s">
        <v>72</v>
      </c>
      <c r="G66" s="14" t="s">
        <v>72</v>
      </c>
      <c r="H66" s="14" t="s">
        <v>72</v>
      </c>
      <c r="I66" s="14"/>
      <c r="J66" s="14"/>
      <c r="K66" s="14"/>
      <c r="L66" s="14"/>
      <c r="M66" s="14"/>
      <c r="N66" s="14"/>
    </row>
    <row r="67" spans="1:14" ht="16" thickBot="1" x14ac:dyDescent="0.25">
      <c r="A67" s="13" t="s">
        <v>153</v>
      </c>
      <c r="B67" s="14">
        <v>66086</v>
      </c>
      <c r="C67" s="14">
        <v>75677</v>
      </c>
      <c r="D67" s="14">
        <v>84028</v>
      </c>
      <c r="E67" s="14">
        <v>105270</v>
      </c>
      <c r="F67" s="14">
        <v>116400</v>
      </c>
      <c r="G67" s="14">
        <v>136777</v>
      </c>
      <c r="H67" s="14">
        <v>170162</v>
      </c>
      <c r="I67" s="16"/>
      <c r="J67" s="16"/>
      <c r="K67" s="16"/>
      <c r="L67" s="16"/>
      <c r="M67" s="16"/>
      <c r="N67" s="16"/>
    </row>
    <row r="68" spans="1:14" ht="16" thickBot="1" x14ac:dyDescent="0.25">
      <c r="A68" s="15" t="s">
        <v>154</v>
      </c>
      <c r="B68" s="16">
        <v>233904</v>
      </c>
      <c r="C68" s="16">
        <v>239891</v>
      </c>
      <c r="D68" s="16">
        <v>222781</v>
      </c>
      <c r="E68" s="16">
        <v>266693</v>
      </c>
      <c r="F68" s="16">
        <v>260550</v>
      </c>
      <c r="G68" s="16">
        <v>255316</v>
      </c>
      <c r="H68" s="16">
        <v>177772</v>
      </c>
      <c r="I68" s="18"/>
      <c r="J68" s="18"/>
      <c r="K68" s="18"/>
      <c r="L68" s="18"/>
      <c r="M68" s="18"/>
      <c r="N68" s="18"/>
    </row>
    <row r="69" spans="1:14" ht="16" thickBot="1" x14ac:dyDescent="0.25">
      <c r="A69" s="17" t="s">
        <v>155</v>
      </c>
      <c r="B69" s="18">
        <v>233904</v>
      </c>
      <c r="C69" s="18">
        <v>239891</v>
      </c>
      <c r="D69" s="18">
        <v>222781</v>
      </c>
      <c r="E69" s="18">
        <v>266693</v>
      </c>
      <c r="F69" s="18">
        <v>257566</v>
      </c>
      <c r="G69" s="18">
        <v>254448</v>
      </c>
      <c r="H69" s="18">
        <v>177767</v>
      </c>
      <c r="I69" s="16"/>
      <c r="J69" s="16"/>
      <c r="K69" s="16"/>
      <c r="L69" s="16"/>
      <c r="M69" s="16"/>
      <c r="N69" s="16"/>
    </row>
    <row r="70" spans="1:14" ht="16" thickBot="1" x14ac:dyDescent="0.25">
      <c r="A70" s="17" t="s">
        <v>156</v>
      </c>
      <c r="B70" s="18" t="s">
        <v>72</v>
      </c>
      <c r="C70" s="18" t="s">
        <v>72</v>
      </c>
      <c r="D70" s="18" t="s">
        <v>72</v>
      </c>
      <c r="E70" s="18" t="s">
        <v>72</v>
      </c>
      <c r="F70" s="18">
        <v>2985</v>
      </c>
      <c r="G70" s="18">
        <v>868</v>
      </c>
      <c r="H70" s="18">
        <v>6</v>
      </c>
      <c r="I70" s="18"/>
      <c r="J70" s="18"/>
      <c r="K70" s="18"/>
      <c r="L70" s="18"/>
      <c r="M70" s="18"/>
      <c r="N70" s="18"/>
    </row>
    <row r="71" spans="1:14" s="55" customFormat="1" ht="16" thickBot="1" x14ac:dyDescent="0.25">
      <c r="A71" s="53" t="s">
        <v>157</v>
      </c>
      <c r="B71" s="54">
        <v>4710400</v>
      </c>
      <c r="C71" s="54">
        <v>3871228</v>
      </c>
      <c r="D71" s="54">
        <v>5167669</v>
      </c>
      <c r="E71" s="54">
        <v>6593773</v>
      </c>
      <c r="F71" s="54">
        <v>5387578</v>
      </c>
      <c r="G71" s="54">
        <v>10786069</v>
      </c>
      <c r="H71" s="54">
        <v>10523797</v>
      </c>
      <c r="I71" s="54"/>
      <c r="J71" s="54"/>
      <c r="K71" s="54"/>
      <c r="L71" s="54"/>
      <c r="M71" s="54"/>
      <c r="N71" s="54"/>
    </row>
    <row r="72" spans="1:14" ht="16" thickBot="1" x14ac:dyDescent="0.25">
      <c r="A72" s="19"/>
      <c r="B72" s="19"/>
      <c r="C72" s="19"/>
      <c r="D72" s="19"/>
      <c r="E72" s="71">
        <f>E74-D74</f>
        <v>581630</v>
      </c>
      <c r="F72" s="19"/>
      <c r="G72" s="19"/>
      <c r="H72" s="19"/>
      <c r="I72" s="18"/>
      <c r="J72" s="18"/>
      <c r="K72" s="18"/>
      <c r="L72" s="18"/>
      <c r="M72" s="18"/>
      <c r="N72" s="18"/>
    </row>
    <row r="73" spans="1:14" ht="12" customHeight="1" thickBot="1" x14ac:dyDescent="0.25">
      <c r="A73" s="12" t="s">
        <v>158</v>
      </c>
      <c r="B73" s="12"/>
      <c r="C73" s="12"/>
      <c r="D73" s="12"/>
      <c r="E73" s="12"/>
      <c r="F73" s="12"/>
      <c r="G73" s="12"/>
      <c r="H73" s="12"/>
      <c r="I73" s="16"/>
      <c r="J73" s="16"/>
      <c r="K73" s="16"/>
      <c r="L73" s="16"/>
      <c r="M73" s="16"/>
      <c r="N73" s="16"/>
    </row>
    <row r="74" spans="1:14" s="76" customFormat="1" ht="16" thickBot="1" x14ac:dyDescent="0.25">
      <c r="A74" s="85" t="s">
        <v>82</v>
      </c>
      <c r="B74" s="72">
        <v>1427548</v>
      </c>
      <c r="C74" s="72">
        <v>1499029</v>
      </c>
      <c r="D74" s="72">
        <v>705892</v>
      </c>
      <c r="E74" s="72">
        <v>1287522</v>
      </c>
      <c r="F74" s="72">
        <v>1214790</v>
      </c>
      <c r="G74" s="72">
        <v>2335743</v>
      </c>
      <c r="H74" s="72">
        <v>2307356</v>
      </c>
      <c r="I74" s="86">
        <f>I89*'Revenue breakdown'!G3</f>
        <v>3203475.5080002951</v>
      </c>
      <c r="J74" s="86">
        <f>J89*'Revenue breakdown'!H3</f>
        <v>3229604.8438012907</v>
      </c>
      <c r="K74" s="86">
        <f>K89*'Revenue breakdown'!I3</f>
        <v>3721366.8159476989</v>
      </c>
      <c r="L74" s="86">
        <f>L89*'Revenue breakdown'!J3</f>
        <v>4083414.3315517628</v>
      </c>
      <c r="M74" s="86">
        <f>M89*'Revenue breakdown'!K3</f>
        <v>4376167.330959294</v>
      </c>
      <c r="N74" s="86">
        <f>N89*'Revenue breakdown'!L3</f>
        <v>4578795.8599305218</v>
      </c>
    </row>
    <row r="75" spans="1:14" s="76" customFormat="1" ht="16" hidden="1" thickBot="1" x14ac:dyDescent="0.25">
      <c r="A75" s="85" t="s">
        <v>626</v>
      </c>
      <c r="B75" s="72"/>
      <c r="C75" s="72"/>
      <c r="D75" s="72">
        <f>D74-C74</f>
        <v>-793137</v>
      </c>
      <c r="E75" s="72">
        <f t="shared" ref="E75:I75" si="16">E74-D74</f>
        <v>581630</v>
      </c>
      <c r="F75" s="72">
        <f t="shared" si="16"/>
        <v>-72732</v>
      </c>
      <c r="G75" s="72">
        <f t="shared" si="16"/>
        <v>1120953</v>
      </c>
      <c r="H75" s="72">
        <f t="shared" si="16"/>
        <v>-28387</v>
      </c>
      <c r="I75" s="72">
        <f t="shared" si="16"/>
        <v>896119.50800029514</v>
      </c>
      <c r="J75" s="72">
        <f>J74-I74</f>
        <v>26129.335800995585</v>
      </c>
      <c r="K75" s="72">
        <f t="shared" ref="K75" si="17">K74-J74</f>
        <v>491761.97214640817</v>
      </c>
      <c r="L75" s="72">
        <f t="shared" ref="L75" si="18">L74-K74</f>
        <v>362047.51560406387</v>
      </c>
      <c r="M75" s="72">
        <f t="shared" ref="M75" si="19">M74-L74</f>
        <v>292752.99940753123</v>
      </c>
      <c r="N75" s="72">
        <f t="shared" ref="N75" si="20">N74-M74</f>
        <v>202628.52897122782</v>
      </c>
    </row>
    <row r="76" spans="1:14" ht="16" thickBot="1" x14ac:dyDescent="0.25">
      <c r="A76" s="13" t="s">
        <v>159</v>
      </c>
      <c r="B76" s="14" t="s">
        <v>72</v>
      </c>
      <c r="C76" s="14" t="s">
        <v>72</v>
      </c>
      <c r="D76" s="14" t="s">
        <v>72</v>
      </c>
      <c r="E76" s="14" t="s">
        <v>72</v>
      </c>
      <c r="F76" s="14" t="s">
        <v>72</v>
      </c>
      <c r="G76" s="14" t="s">
        <v>72</v>
      </c>
      <c r="H76" s="14" t="s">
        <v>72</v>
      </c>
      <c r="I76" s="18"/>
      <c r="J76" s="18"/>
      <c r="K76" s="18"/>
      <c r="L76" s="18"/>
      <c r="M76" s="18"/>
      <c r="N76" s="18"/>
    </row>
    <row r="77" spans="1:14" s="76" customFormat="1" ht="16" thickBot="1" x14ac:dyDescent="0.25">
      <c r="A77" s="85" t="s">
        <v>160</v>
      </c>
      <c r="B77" s="72">
        <v>198796</v>
      </c>
      <c r="C77" s="72">
        <v>247307</v>
      </c>
      <c r="D77" s="72">
        <v>170569</v>
      </c>
      <c r="E77" s="72">
        <v>183299</v>
      </c>
      <c r="F77" s="72">
        <v>238744</v>
      </c>
      <c r="G77" s="72">
        <v>512496</v>
      </c>
      <c r="H77" s="72">
        <v>653063</v>
      </c>
      <c r="I77" s="86">
        <f>I78*'Revenue breakdown'!G3</f>
        <v>636292.61850230535</v>
      </c>
      <c r="J77" s="86">
        <f>J78*'Revenue breakdown'!H3</f>
        <v>727921.5508869444</v>
      </c>
      <c r="K77" s="86">
        <f>K78*'Revenue breakdown'!I3</f>
        <v>844010.90725356736</v>
      </c>
      <c r="L77" s="86">
        <f>L78*'Revenue breakdown'!J3</f>
        <v>940674.04138363386</v>
      </c>
      <c r="M77" s="86">
        <f>M78*'Revenue breakdown'!K3</f>
        <v>970874.31803562283</v>
      </c>
      <c r="N77" s="86">
        <f>N78*'Revenue breakdown'!L3</f>
        <v>1023587.5109558083</v>
      </c>
    </row>
    <row r="78" spans="1:14" ht="16" thickBot="1" x14ac:dyDescent="0.25">
      <c r="A78" s="13"/>
      <c r="B78" s="14"/>
      <c r="C78" s="14"/>
      <c r="D78" s="100">
        <f>D77/'Revenue breakdown'!B3</f>
        <v>1.1149513983057633E-2</v>
      </c>
      <c r="E78" s="100">
        <f>E77/'Revenue breakdown'!C3</f>
        <v>1.101956479395165E-2</v>
      </c>
      <c r="F78" s="100">
        <f>F77/'Revenue breakdown'!D3</f>
        <v>1.6283828500342087E-2</v>
      </c>
      <c r="G78" s="100">
        <f>G77/'Revenue breakdown'!E3</f>
        <v>2.2782702312753509E-2</v>
      </c>
      <c r="H78" s="100">
        <f>H77/'Revenue breakdown'!F3</f>
        <v>2.1649118483543665E-2</v>
      </c>
      <c r="I78" s="101">
        <f>AVERAGE(D78:H78)</f>
        <v>1.6576945614729711E-2</v>
      </c>
      <c r="J78" s="101">
        <f t="shared" ref="J78:N78" si="21">AVERAGE(E78:I78)</f>
        <v>1.7662431941064125E-2</v>
      </c>
      <c r="K78" s="101">
        <f t="shared" si="21"/>
        <v>1.8991005370486619E-2</v>
      </c>
      <c r="L78" s="101">
        <f t="shared" si="21"/>
        <v>1.9532440744515524E-2</v>
      </c>
      <c r="M78" s="101">
        <f t="shared" si="21"/>
        <v>1.8882388430867932E-2</v>
      </c>
      <c r="N78" s="101">
        <f t="shared" si="21"/>
        <v>1.8329042420332779E-2</v>
      </c>
    </row>
    <row r="79" spans="1:14" ht="16" thickBot="1" x14ac:dyDescent="0.25">
      <c r="A79" s="13" t="s">
        <v>161</v>
      </c>
      <c r="B79" s="14">
        <v>0</v>
      </c>
      <c r="C79" s="14">
        <v>0</v>
      </c>
      <c r="D79" s="14">
        <v>2947272</v>
      </c>
      <c r="E79" s="14">
        <v>3698036</v>
      </c>
      <c r="F79" s="14">
        <v>2485948</v>
      </c>
      <c r="G79" s="14">
        <v>6047406</v>
      </c>
      <c r="H79" s="14">
        <v>5363331</v>
      </c>
      <c r="I79" s="14"/>
      <c r="J79" s="14"/>
      <c r="K79" s="14"/>
      <c r="L79" s="14"/>
      <c r="M79" s="14"/>
      <c r="N79" s="14"/>
    </row>
    <row r="80" spans="1:14" ht="16" thickBot="1" x14ac:dyDescent="0.25">
      <c r="A80" s="13" t="s">
        <v>162</v>
      </c>
      <c r="B80" s="14">
        <v>2434624</v>
      </c>
      <c r="C80" s="14">
        <v>1173003</v>
      </c>
      <c r="D80" s="14" t="s">
        <v>72</v>
      </c>
      <c r="E80" s="14" t="s">
        <v>72</v>
      </c>
      <c r="F80" s="14" t="s">
        <v>72</v>
      </c>
      <c r="G80" s="14" t="s">
        <v>72</v>
      </c>
      <c r="H80" s="14" t="s">
        <v>72</v>
      </c>
      <c r="I80" s="19"/>
      <c r="J80" s="19"/>
      <c r="K80" s="19"/>
      <c r="L80" s="19"/>
      <c r="M80" s="19"/>
      <c r="N80" s="19"/>
    </row>
    <row r="81" spans="1:15" s="76" customFormat="1" ht="16" thickBot="1" x14ac:dyDescent="0.25">
      <c r="A81" s="87" t="s">
        <v>163</v>
      </c>
      <c r="B81" s="136">
        <v>134201</v>
      </c>
      <c r="C81" s="136">
        <v>155435</v>
      </c>
      <c r="D81" s="136">
        <v>185169</v>
      </c>
      <c r="E81" s="136">
        <v>139274</v>
      </c>
      <c r="F81" s="136">
        <v>222966</v>
      </c>
      <c r="G81" s="136">
        <v>211062</v>
      </c>
      <c r="H81" s="136">
        <v>150624</v>
      </c>
      <c r="I81" s="72">
        <f>I82*'Revenue breakdown'!G3</f>
        <v>384304.39480842149</v>
      </c>
      <c r="J81" s="72">
        <f>J82*'Revenue breakdown'!H3</f>
        <v>395384.43730392435</v>
      </c>
      <c r="K81" s="72">
        <f>K82*'Revenue breakdown'!I3</f>
        <v>437220.231547123</v>
      </c>
      <c r="L81" s="72">
        <f>L82*'Revenue breakdown'!J3</f>
        <v>422064.95363177359</v>
      </c>
      <c r="M81" s="72">
        <f>M82*'Revenue breakdown'!K3</f>
        <v>444249.13479233312</v>
      </c>
      <c r="N81" s="72">
        <f>N82*'Revenue breakdown'!L3</f>
        <v>523241.97190792212</v>
      </c>
    </row>
    <row r="82" spans="1:15" ht="16" thickBot="1" x14ac:dyDescent="0.25">
      <c r="A82" s="15"/>
      <c r="B82" s="16"/>
      <c r="C82" s="16"/>
      <c r="D82" s="89">
        <f>D81/'Revenue breakdown'!B3</f>
        <v>1.2103866205047805E-2</v>
      </c>
      <c r="E82" s="89">
        <f>E81/'Revenue breakdown'!C3</f>
        <v>8.3728709218971308E-3</v>
      </c>
      <c r="F82" s="89">
        <f>F81/'Revenue breakdown'!D3</f>
        <v>1.5207670581908965E-2</v>
      </c>
      <c r="G82" s="89">
        <f>G81/'Revenue breakdown'!E3</f>
        <v>9.3826346264836817E-3</v>
      </c>
      <c r="H82" s="89">
        <f>H81/'Revenue breakdown'!F3</f>
        <v>4.9932040591264262E-3</v>
      </c>
      <c r="I82" s="100">
        <f>AVERAGE(D82:H82)</f>
        <v>1.0012049278892802E-2</v>
      </c>
      <c r="J82" s="100">
        <f t="shared" ref="J82:N82" si="22">AVERAGE(E82:I82)</f>
        <v>9.5936858936618002E-3</v>
      </c>
      <c r="K82" s="100">
        <f t="shared" si="22"/>
        <v>9.8378488880147361E-3</v>
      </c>
      <c r="L82" s="100">
        <f t="shared" si="22"/>
        <v>8.763884549235889E-3</v>
      </c>
      <c r="M82" s="100">
        <f t="shared" si="22"/>
        <v>8.6401345337863318E-3</v>
      </c>
      <c r="N82" s="100">
        <f t="shared" si="22"/>
        <v>9.369520628718311E-3</v>
      </c>
    </row>
    <row r="83" spans="1:15" ht="16" thickBot="1" x14ac:dyDescent="0.25">
      <c r="A83" s="17" t="s">
        <v>164</v>
      </c>
      <c r="B83" s="18">
        <v>34948</v>
      </c>
      <c r="C83" s="18">
        <v>13232</v>
      </c>
      <c r="D83" s="18">
        <v>13918</v>
      </c>
      <c r="E83" s="18">
        <v>19464</v>
      </c>
      <c r="F83" s="18">
        <v>28401</v>
      </c>
      <c r="G83" s="18">
        <v>54212</v>
      </c>
      <c r="H83" s="18">
        <v>35297</v>
      </c>
      <c r="I83" s="14"/>
      <c r="J83" s="14"/>
      <c r="K83" s="14"/>
      <c r="L83" s="14"/>
      <c r="M83" s="14"/>
      <c r="N83" s="14"/>
    </row>
    <row r="84" spans="1:15" ht="16" thickBot="1" x14ac:dyDescent="0.25">
      <c r="A84" s="17" t="s">
        <v>165</v>
      </c>
      <c r="B84" s="18">
        <v>21509</v>
      </c>
      <c r="C84" s="18">
        <v>26435</v>
      </c>
      <c r="D84" s="18">
        <v>24450</v>
      </c>
      <c r="E84" s="18">
        <v>9108</v>
      </c>
      <c r="F84" s="18">
        <v>31620</v>
      </c>
      <c r="G84" s="18">
        <v>71324</v>
      </c>
      <c r="H84" s="18">
        <v>3120</v>
      </c>
      <c r="I84" s="19"/>
      <c r="J84" s="19"/>
      <c r="K84" s="19"/>
      <c r="L84" s="19"/>
      <c r="M84" s="19"/>
      <c r="N84" s="19"/>
    </row>
    <row r="85" spans="1:15" ht="16" thickBot="1" x14ac:dyDescent="0.25">
      <c r="A85" s="17" t="s">
        <v>166</v>
      </c>
      <c r="B85" s="18">
        <v>77745</v>
      </c>
      <c r="C85" s="18">
        <v>115767</v>
      </c>
      <c r="D85" s="18">
        <v>146802</v>
      </c>
      <c r="E85" s="18">
        <v>110702</v>
      </c>
      <c r="F85" s="18">
        <v>162945</v>
      </c>
      <c r="G85" s="18">
        <v>85527</v>
      </c>
      <c r="H85" s="18">
        <v>112206</v>
      </c>
      <c r="I85" s="14"/>
      <c r="J85" s="14"/>
      <c r="K85" s="14"/>
      <c r="L85" s="14"/>
      <c r="M85" s="14"/>
      <c r="N85" s="14"/>
    </row>
    <row r="86" spans="1:15" ht="16" thickBot="1" x14ac:dyDescent="0.25">
      <c r="A86" s="13" t="s">
        <v>167</v>
      </c>
      <c r="B86" s="14">
        <v>4195169</v>
      </c>
      <c r="C86" s="14">
        <v>3074774</v>
      </c>
      <c r="D86" s="14">
        <v>4008902</v>
      </c>
      <c r="E86" s="14">
        <v>5308130</v>
      </c>
      <c r="F86" s="14">
        <v>4162448</v>
      </c>
      <c r="G86" s="14">
        <v>9106708</v>
      </c>
      <c r="H86" s="14">
        <v>8474375</v>
      </c>
      <c r="I86" s="14"/>
      <c r="J86" s="14"/>
      <c r="K86" s="14"/>
      <c r="L86" s="14"/>
      <c r="M86" s="14"/>
      <c r="N86" s="14"/>
    </row>
    <row r="87" spans="1:15" s="55" customFormat="1" ht="16" thickBot="1" x14ac:dyDescent="0.25">
      <c r="A87" s="83" t="s">
        <v>621</v>
      </c>
      <c r="B87" s="54"/>
      <c r="C87" s="54">
        <f t="shared" ref="C87:N87" si="23">C74+C77+C81</f>
        <v>1901771</v>
      </c>
      <c r="D87" s="54">
        <f>D74+D77+D81</f>
        <v>1061630</v>
      </c>
      <c r="E87" s="54">
        <f t="shared" si="23"/>
        <v>1610095</v>
      </c>
      <c r="F87" s="54">
        <f t="shared" si="23"/>
        <v>1676500</v>
      </c>
      <c r="G87" s="54">
        <f t="shared" si="23"/>
        <v>3059301</v>
      </c>
      <c r="H87" s="54">
        <f t="shared" si="23"/>
        <v>3111043</v>
      </c>
      <c r="I87" s="54">
        <f>I74+I77+I81</f>
        <v>4224072.5213110223</v>
      </c>
      <c r="J87" s="54">
        <f t="shared" si="23"/>
        <v>4352910.8319921596</v>
      </c>
      <c r="K87" s="54">
        <f t="shared" si="23"/>
        <v>5002597.9547483893</v>
      </c>
      <c r="L87" s="54">
        <f t="shared" si="23"/>
        <v>5446153.3265671702</v>
      </c>
      <c r="M87" s="54">
        <f t="shared" si="23"/>
        <v>5791290.7837872505</v>
      </c>
      <c r="N87" s="54">
        <f t="shared" si="23"/>
        <v>6125625.3427942526</v>
      </c>
      <c r="O87" s="54"/>
    </row>
    <row r="88" spans="1:15" ht="16" thickBot="1" x14ac:dyDescent="0.25">
      <c r="A88" s="74" t="s">
        <v>622</v>
      </c>
      <c r="B88" s="75"/>
      <c r="C88" s="84">
        <f t="shared" ref="C88:N88" si="24">(C74-B74)/B74</f>
        <v>5.007257199057405E-2</v>
      </c>
      <c r="D88" s="84">
        <f t="shared" si="24"/>
        <v>-0.52910050439317713</v>
      </c>
      <c r="E88" s="84">
        <f t="shared" si="24"/>
        <v>0.82396457248417609</v>
      </c>
      <c r="F88" s="84">
        <f t="shared" si="24"/>
        <v>-5.6489908521951467E-2</v>
      </c>
      <c r="G88" s="84">
        <f t="shared" si="24"/>
        <v>0.92275455016916508</v>
      </c>
      <c r="H88" s="84">
        <f t="shared" si="24"/>
        <v>-1.2153306249874237E-2</v>
      </c>
      <c r="I88" s="84">
        <f>(I74-H74)/H74</f>
        <v>0.38837505265780187</v>
      </c>
      <c r="J88" s="84">
        <f t="shared" si="24"/>
        <v>8.1565586300693452E-3</v>
      </c>
      <c r="K88" s="84">
        <f t="shared" si="24"/>
        <v>0.15226691683048052</v>
      </c>
      <c r="L88" s="84">
        <f t="shared" si="24"/>
        <v>9.7288854743512648E-2</v>
      </c>
      <c r="M88" s="84">
        <f t="shared" si="24"/>
        <v>7.169318997229468E-2</v>
      </c>
      <c r="N88" s="84">
        <f t="shared" si="24"/>
        <v>4.6302737908975225E-2</v>
      </c>
    </row>
    <row r="89" spans="1:15" ht="16" thickBot="1" x14ac:dyDescent="0.25">
      <c r="A89" s="74" t="s">
        <v>613</v>
      </c>
      <c r="B89" s="81"/>
      <c r="C89" s="81">
        <f>C74/'FPT Digital Retail JSC | Income'!D23</f>
        <v>0.11402481950539743</v>
      </c>
      <c r="D89" s="81">
        <f>D74/'FPT Digital Retail JSC | Income'!E23</f>
        <v>4.6141753334594908E-2</v>
      </c>
      <c r="E89" s="81">
        <f>E74/'FPT Digital Retail JSC | Income'!F23</f>
        <v>7.7403216071218153E-2</v>
      </c>
      <c r="F89" s="81">
        <f>F74/'FPT Digital Retail JSC | Income'!G23</f>
        <v>8.2856247796512433E-2</v>
      </c>
      <c r="G89" s="81">
        <f>G74/'FPT Digital Retail JSC | Income'!H23</f>
        <v>0.10383405421329693</v>
      </c>
      <c r="H89" s="81">
        <f>H74/'FPT Digital Retail JSC | Income'!I23</f>
        <v>7.6489134168855652E-2</v>
      </c>
      <c r="I89" s="82">
        <f>AVERAGE(C89:H89)</f>
        <v>8.3458204181645915E-2</v>
      </c>
      <c r="J89" s="82">
        <f t="shared" ref="J89:N89" si="25">AVERAGE(D89:I89)</f>
        <v>7.8363768294354E-2</v>
      </c>
      <c r="K89" s="82">
        <f t="shared" si="25"/>
        <v>8.3734104120980521E-2</v>
      </c>
      <c r="L89" s="82">
        <f t="shared" si="25"/>
        <v>8.478925212927424E-2</v>
      </c>
      <c r="M89" s="82">
        <f t="shared" si="25"/>
        <v>8.5111419518067888E-2</v>
      </c>
      <c r="N89" s="82">
        <f t="shared" si="25"/>
        <v>8.1990980402196365E-2</v>
      </c>
    </row>
    <row r="90" spans="1:15" ht="16" thickBot="1" x14ac:dyDescent="0.25">
      <c r="A90" s="13" t="s">
        <v>168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/>
      <c r="J90" s="14"/>
      <c r="K90" s="14"/>
      <c r="L90" s="14"/>
      <c r="M90" s="14"/>
      <c r="N90" s="14"/>
    </row>
    <row r="91" spans="1:15" ht="16" thickBot="1" x14ac:dyDescent="0.25">
      <c r="A91" s="13" t="s">
        <v>169</v>
      </c>
      <c r="B91" s="14">
        <v>2434624</v>
      </c>
      <c r="C91" s="14">
        <v>1173003</v>
      </c>
      <c r="D91" s="14">
        <v>2947272</v>
      </c>
      <c r="E91" s="14">
        <v>3698036</v>
      </c>
      <c r="F91" s="14">
        <v>2485948</v>
      </c>
      <c r="G91" s="14">
        <v>6047406</v>
      </c>
      <c r="H91" s="14">
        <v>5363331</v>
      </c>
      <c r="I91" s="14"/>
      <c r="J91" s="14"/>
      <c r="K91" s="14"/>
      <c r="L91" s="14"/>
      <c r="M91" s="14"/>
      <c r="N91" s="14"/>
    </row>
    <row r="92" spans="1:15" ht="16" thickBot="1" x14ac:dyDescent="0.25">
      <c r="A92" s="15" t="s">
        <v>170</v>
      </c>
      <c r="B92" s="16" t="s">
        <v>72</v>
      </c>
      <c r="C92" s="16" t="s">
        <v>72</v>
      </c>
      <c r="D92" s="16" t="s">
        <v>72</v>
      </c>
      <c r="E92" s="16">
        <v>6279</v>
      </c>
      <c r="F92" s="16" t="s">
        <v>72</v>
      </c>
      <c r="G92" s="16" t="s">
        <v>72</v>
      </c>
      <c r="H92" s="16" t="s">
        <v>72</v>
      </c>
      <c r="I92" s="14"/>
      <c r="J92" s="14"/>
      <c r="K92" s="14"/>
      <c r="L92" s="14"/>
      <c r="M92" s="14"/>
      <c r="N92" s="14"/>
    </row>
    <row r="93" spans="1:15" ht="16" thickBot="1" x14ac:dyDescent="0.25">
      <c r="A93" s="17" t="s">
        <v>171</v>
      </c>
      <c r="B93" s="18" t="s">
        <v>72</v>
      </c>
      <c r="C93" s="18" t="s">
        <v>72</v>
      </c>
      <c r="D93" s="18" t="s">
        <v>72</v>
      </c>
      <c r="E93" s="18">
        <v>6279</v>
      </c>
      <c r="F93" s="18" t="s">
        <v>72</v>
      </c>
      <c r="G93" s="18" t="s">
        <v>72</v>
      </c>
      <c r="H93" s="18" t="s">
        <v>72</v>
      </c>
      <c r="I93" s="14"/>
      <c r="J93" s="14"/>
      <c r="K93" s="14"/>
      <c r="L93" s="14"/>
      <c r="M93" s="14"/>
      <c r="N93" s="14"/>
    </row>
    <row r="94" spans="1:15" ht="16" thickBot="1" x14ac:dyDescent="0.25">
      <c r="A94" s="13" t="s">
        <v>172</v>
      </c>
      <c r="B94" s="14" t="s">
        <v>72</v>
      </c>
      <c r="C94" s="14" t="s">
        <v>72</v>
      </c>
      <c r="D94" s="14">
        <v>24984</v>
      </c>
      <c r="E94" s="14">
        <v>5637</v>
      </c>
      <c r="F94" s="14">
        <v>11403</v>
      </c>
      <c r="G94" s="14">
        <v>17066</v>
      </c>
      <c r="H94" s="14">
        <v>41105</v>
      </c>
      <c r="I94" s="14"/>
      <c r="J94" s="14"/>
      <c r="K94" s="14"/>
      <c r="L94" s="14"/>
      <c r="M94" s="14"/>
      <c r="N94" s="14"/>
    </row>
    <row r="95" spans="1:15" ht="16" thickBot="1" x14ac:dyDescent="0.25">
      <c r="A95" s="15" t="s">
        <v>173</v>
      </c>
      <c r="B95" s="16" t="s">
        <v>72</v>
      </c>
      <c r="C95" s="16" t="s">
        <v>72</v>
      </c>
      <c r="D95" s="16" t="s">
        <v>72</v>
      </c>
      <c r="E95" s="16" t="s">
        <v>72</v>
      </c>
      <c r="F95" s="16" t="s">
        <v>72</v>
      </c>
      <c r="G95" s="16">
        <v>87</v>
      </c>
      <c r="H95" s="16">
        <v>87</v>
      </c>
      <c r="I95" s="14"/>
      <c r="J95" s="14"/>
      <c r="K95" s="14"/>
      <c r="L95" s="14"/>
      <c r="M95" s="14"/>
      <c r="N95" s="14"/>
    </row>
    <row r="96" spans="1:15" ht="16" thickBot="1" x14ac:dyDescent="0.25">
      <c r="A96" s="17" t="s">
        <v>174</v>
      </c>
      <c r="B96" s="18" t="s">
        <v>72</v>
      </c>
      <c r="C96" s="18" t="s">
        <v>72</v>
      </c>
      <c r="D96" s="18" t="s">
        <v>72</v>
      </c>
      <c r="E96" s="18" t="s">
        <v>72</v>
      </c>
      <c r="F96" s="18" t="s">
        <v>72</v>
      </c>
      <c r="G96" s="18">
        <v>87</v>
      </c>
      <c r="H96" s="18">
        <v>87</v>
      </c>
      <c r="I96" s="14"/>
      <c r="J96" s="14"/>
      <c r="K96" s="14"/>
      <c r="L96" s="14"/>
      <c r="M96" s="14"/>
      <c r="N96" s="14"/>
    </row>
    <row r="97" spans="1:14" ht="16" thickBot="1" x14ac:dyDescent="0.25">
      <c r="A97" s="13" t="s">
        <v>175</v>
      </c>
      <c r="B97" s="14">
        <v>4195169</v>
      </c>
      <c r="C97" s="14">
        <v>3074774</v>
      </c>
      <c r="D97" s="14">
        <v>4033886</v>
      </c>
      <c r="E97" s="14">
        <v>5320047</v>
      </c>
      <c r="F97" s="14">
        <v>4173851</v>
      </c>
      <c r="G97" s="14">
        <v>9123860</v>
      </c>
      <c r="H97" s="14">
        <v>8515566</v>
      </c>
      <c r="I97" s="14"/>
      <c r="J97" s="14"/>
      <c r="K97" s="14"/>
      <c r="L97" s="14"/>
      <c r="M97" s="14"/>
      <c r="N97" s="14"/>
    </row>
    <row r="98" spans="1:14" x14ac:dyDescent="0.2">
      <c r="A98" s="74" t="s">
        <v>611</v>
      </c>
      <c r="B98" s="77"/>
      <c r="C98" s="73">
        <f>C87+C51</f>
        <v>5067887</v>
      </c>
      <c r="D98" s="73">
        <f>D51-D87</f>
        <v>2442429</v>
      </c>
      <c r="E98" s="73">
        <f t="shared" ref="D98:N98" si="26">E51-E87</f>
        <v>2661534</v>
      </c>
      <c r="F98" s="73">
        <f t="shared" si="26"/>
        <v>695910</v>
      </c>
      <c r="G98" s="73">
        <f t="shared" si="26"/>
        <v>2348304</v>
      </c>
      <c r="H98" s="73">
        <f t="shared" si="26"/>
        <v>3976500</v>
      </c>
      <c r="I98" s="73">
        <f>I51-I87</f>
        <v>5108580.0759553388</v>
      </c>
      <c r="J98" s="73">
        <f t="shared" si="26"/>
        <v>5405237.4548598723</v>
      </c>
      <c r="K98" s="73">
        <f t="shared" si="26"/>
        <v>5512677.976235793</v>
      </c>
      <c r="L98" s="73">
        <f t="shared" si="26"/>
        <v>5368821.9236467751</v>
      </c>
      <c r="M98" s="73">
        <f t="shared" si="26"/>
        <v>5314445.4574326612</v>
      </c>
      <c r="N98" s="73">
        <f t="shared" si="26"/>
        <v>5602378.8088719491</v>
      </c>
    </row>
    <row r="99" spans="1:14" s="78" customFormat="1" ht="16" thickBot="1" x14ac:dyDescent="0.25">
      <c r="A99" s="79" t="s">
        <v>612</v>
      </c>
      <c r="D99" s="80">
        <f>D98-C98</f>
        <v>-2625458</v>
      </c>
      <c r="E99" s="80">
        <f>E98-D98</f>
        <v>219105</v>
      </c>
      <c r="F99" s="80">
        <f t="shared" ref="F99:H99" si="27">F98-E98</f>
        <v>-1965624</v>
      </c>
      <c r="G99" s="80">
        <f t="shared" si="27"/>
        <v>1652394</v>
      </c>
      <c r="H99" s="80">
        <f t="shared" si="27"/>
        <v>1628196</v>
      </c>
      <c r="I99" s="80">
        <f>I98-H98</f>
        <v>1132080.0759553388</v>
      </c>
      <c r="J99" s="80">
        <f t="shared" ref="J99" si="28">J98-I98</f>
        <v>296657.37890453357</v>
      </c>
      <c r="K99" s="80">
        <f t="shared" ref="K99" si="29">K98-J98</f>
        <v>107440.52137592062</v>
      </c>
      <c r="L99" s="80">
        <f t="shared" ref="L99" si="30">L98-K98</f>
        <v>-143856.0525890179</v>
      </c>
      <c r="M99" s="80">
        <f t="shared" ref="M99" si="31">M98-L98</f>
        <v>-54376.466214113869</v>
      </c>
      <c r="N99" s="80">
        <f t="shared" ref="N99" si="32">N98-M98</f>
        <v>287933.35143928789</v>
      </c>
    </row>
    <row r="100" spans="1:14" s="55" customFormat="1" ht="12" customHeight="1" thickBot="1" x14ac:dyDescent="0.25">
      <c r="A100" s="62" t="s">
        <v>176</v>
      </c>
      <c r="B100" s="62"/>
      <c r="C100" s="62"/>
      <c r="D100" s="111"/>
      <c r="E100" s="62"/>
      <c r="F100" s="62"/>
      <c r="G100" s="62"/>
      <c r="H100" s="62"/>
      <c r="I100" s="54"/>
      <c r="J100" s="54"/>
      <c r="K100" s="54"/>
      <c r="L100" s="54"/>
      <c r="M100" s="54"/>
      <c r="N100" s="54"/>
    </row>
    <row r="101" spans="1:14" ht="16" thickBot="1" x14ac:dyDescent="0.25">
      <c r="A101" s="13" t="s">
        <v>177</v>
      </c>
      <c r="B101" s="14" t="s">
        <v>72</v>
      </c>
      <c r="C101" s="14" t="s">
        <v>72</v>
      </c>
      <c r="D101" s="14" t="s">
        <v>72</v>
      </c>
      <c r="E101" s="14" t="s">
        <v>72</v>
      </c>
      <c r="F101" s="14" t="s">
        <v>72</v>
      </c>
      <c r="G101" s="14" t="s">
        <v>72</v>
      </c>
      <c r="H101" s="14" t="s">
        <v>72</v>
      </c>
    </row>
    <row r="102" spans="1:14" ht="16" thickBot="1" x14ac:dyDescent="0.25">
      <c r="A102" s="13" t="s">
        <v>178</v>
      </c>
      <c r="B102" s="14" t="s">
        <v>72</v>
      </c>
      <c r="C102" s="14" t="s">
        <v>72</v>
      </c>
      <c r="D102" s="14" t="s">
        <v>72</v>
      </c>
      <c r="E102" s="14" t="s">
        <v>72</v>
      </c>
      <c r="F102" s="14" t="s">
        <v>72</v>
      </c>
      <c r="G102" s="14" t="s">
        <v>72</v>
      </c>
      <c r="H102" s="14" t="s">
        <v>72</v>
      </c>
      <c r="I102" s="14"/>
      <c r="J102" s="14"/>
      <c r="K102" s="14"/>
      <c r="L102" s="14"/>
      <c r="M102" s="14"/>
      <c r="N102" s="14"/>
    </row>
    <row r="103" spans="1:14" ht="16" thickBot="1" x14ac:dyDescent="0.25">
      <c r="A103" s="15" t="s">
        <v>179</v>
      </c>
      <c r="B103" s="16">
        <v>200000</v>
      </c>
      <c r="C103" s="16">
        <v>400000</v>
      </c>
      <c r="D103" s="16">
        <v>680000</v>
      </c>
      <c r="E103" s="16">
        <v>789818</v>
      </c>
      <c r="F103" s="16">
        <v>789818</v>
      </c>
      <c r="G103" s="16">
        <v>789818</v>
      </c>
      <c r="H103" s="16">
        <v>1184725</v>
      </c>
      <c r="I103" s="19"/>
      <c r="J103" s="19"/>
      <c r="K103" s="19"/>
      <c r="L103" s="19"/>
      <c r="M103" s="19"/>
      <c r="N103" s="19"/>
    </row>
    <row r="104" spans="1:14" ht="16" thickBot="1" x14ac:dyDescent="0.25">
      <c r="A104" s="17" t="s">
        <v>180</v>
      </c>
      <c r="B104" s="18">
        <v>200000</v>
      </c>
      <c r="C104" s="18">
        <v>400000</v>
      </c>
      <c r="D104" s="18">
        <v>680000</v>
      </c>
      <c r="E104" s="18">
        <v>789818</v>
      </c>
      <c r="F104" s="18">
        <v>789818</v>
      </c>
      <c r="G104" s="18">
        <v>789818</v>
      </c>
      <c r="H104" s="18">
        <v>1184725</v>
      </c>
    </row>
    <row r="105" spans="1:14" ht="16" thickBot="1" x14ac:dyDescent="0.25">
      <c r="A105" s="13" t="s">
        <v>181</v>
      </c>
      <c r="B105" s="14" t="s">
        <v>72</v>
      </c>
      <c r="C105" s="14" t="s">
        <v>72</v>
      </c>
      <c r="D105" s="14" t="s">
        <v>72</v>
      </c>
      <c r="E105" s="14" t="s">
        <v>72</v>
      </c>
      <c r="F105" s="14" t="s">
        <v>72</v>
      </c>
      <c r="G105" s="14" t="s">
        <v>72</v>
      </c>
      <c r="H105" s="14" t="s">
        <v>72</v>
      </c>
    </row>
    <row r="106" spans="1:14" ht="16" thickBot="1" x14ac:dyDescent="0.25">
      <c r="A106" s="13" t="s">
        <v>182</v>
      </c>
      <c r="B106" s="14">
        <v>315280</v>
      </c>
      <c r="C106" s="14">
        <v>396454</v>
      </c>
      <c r="D106" s="14">
        <v>453783</v>
      </c>
      <c r="E106" s="14">
        <v>483908</v>
      </c>
      <c r="F106" s="14">
        <v>423909</v>
      </c>
      <c r="G106" s="14">
        <v>872390</v>
      </c>
      <c r="H106" s="14">
        <v>823506</v>
      </c>
    </row>
    <row r="107" spans="1:14" ht="16" thickBot="1" x14ac:dyDescent="0.25">
      <c r="A107" s="13" t="s">
        <v>183</v>
      </c>
      <c r="B107" s="14">
        <v>-50</v>
      </c>
      <c r="C107" s="14" t="s">
        <v>72</v>
      </c>
      <c r="D107" s="14" t="s">
        <v>72</v>
      </c>
      <c r="E107" s="14" t="s">
        <v>72</v>
      </c>
      <c r="F107" s="14" t="s">
        <v>72</v>
      </c>
      <c r="G107" s="14" t="s">
        <v>72</v>
      </c>
      <c r="H107" s="14" t="s">
        <v>72</v>
      </c>
    </row>
    <row r="108" spans="1:14" ht="16" thickBot="1" x14ac:dyDescent="0.25">
      <c r="A108" s="13" t="s">
        <v>184</v>
      </c>
      <c r="B108" s="14" t="s">
        <v>72</v>
      </c>
      <c r="C108" s="14" t="s">
        <v>72</v>
      </c>
      <c r="D108" s="14" t="s">
        <v>72</v>
      </c>
      <c r="E108" s="14" t="s">
        <v>72</v>
      </c>
      <c r="F108" s="14" t="s">
        <v>72</v>
      </c>
      <c r="G108" s="14" t="s">
        <v>72</v>
      </c>
      <c r="H108" s="14" t="s">
        <v>72</v>
      </c>
    </row>
    <row r="109" spans="1:14" ht="16" thickBot="1" x14ac:dyDescent="0.25">
      <c r="A109" s="13" t="s">
        <v>185</v>
      </c>
      <c r="B109" s="14" t="s">
        <v>72</v>
      </c>
      <c r="C109" s="14" t="s">
        <v>72</v>
      </c>
      <c r="D109" s="14" t="s">
        <v>72</v>
      </c>
      <c r="E109" s="14" t="s">
        <v>72</v>
      </c>
      <c r="F109" s="14" t="s">
        <v>72</v>
      </c>
      <c r="G109" s="14" t="s">
        <v>72</v>
      </c>
      <c r="H109" s="14" t="s">
        <v>72</v>
      </c>
    </row>
    <row r="110" spans="1:14" ht="16" thickBot="1" x14ac:dyDescent="0.25">
      <c r="A110" s="13" t="s">
        <v>186</v>
      </c>
      <c r="B110" s="14" t="s">
        <v>72</v>
      </c>
      <c r="C110" s="14" t="s">
        <v>72</v>
      </c>
      <c r="D110" s="14" t="s">
        <v>72</v>
      </c>
      <c r="E110" s="14" t="s">
        <v>72</v>
      </c>
      <c r="F110" s="14" t="s">
        <v>72</v>
      </c>
      <c r="G110" s="14" t="s">
        <v>72</v>
      </c>
      <c r="H110" s="14" t="s">
        <v>72</v>
      </c>
    </row>
    <row r="111" spans="1:14" s="55" customFormat="1" ht="16" thickBot="1" x14ac:dyDescent="0.25">
      <c r="A111" s="53" t="s">
        <v>187</v>
      </c>
      <c r="B111" s="54">
        <v>515230</v>
      </c>
      <c r="C111" s="54">
        <v>796454</v>
      </c>
      <c r="D111" s="54">
        <v>1133783</v>
      </c>
      <c r="E111" s="54">
        <v>1273726</v>
      </c>
      <c r="F111" s="54">
        <v>1213726</v>
      </c>
      <c r="G111" s="54">
        <v>1662208</v>
      </c>
      <c r="H111" s="54">
        <v>2008231</v>
      </c>
    </row>
    <row r="112" spans="1:14" ht="16" thickBot="1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s="55" customFormat="1" ht="16" thickBot="1" x14ac:dyDescent="0.25">
      <c r="A113" s="53" t="s">
        <v>188</v>
      </c>
      <c r="B113" s="54">
        <v>4710400</v>
      </c>
      <c r="C113" s="54">
        <v>3871228</v>
      </c>
      <c r="D113" s="54">
        <v>5167669</v>
      </c>
      <c r="E113" s="54">
        <v>6593773</v>
      </c>
      <c r="F113" s="54">
        <v>5387578</v>
      </c>
      <c r="G113" s="54">
        <v>10786069</v>
      </c>
      <c r="H113" s="54">
        <v>10523797</v>
      </c>
    </row>
    <row r="114" spans="1:8" x14ac:dyDescent="0.2">
      <c r="A114" s="19"/>
      <c r="B114" s="19"/>
      <c r="C114" s="19"/>
      <c r="D114" s="19"/>
      <c r="E114" s="19"/>
      <c r="F114" s="19"/>
      <c r="G114" s="19"/>
      <c r="H114" s="19"/>
    </row>
    <row r="115" spans="1:8" ht="12" customHeight="1" thickBot="1" x14ac:dyDescent="0.25">
      <c r="A115" s="12" t="s">
        <v>189</v>
      </c>
      <c r="B115" s="12"/>
      <c r="C115" s="12"/>
      <c r="D115" s="12"/>
      <c r="E115" s="12"/>
      <c r="F115" s="12"/>
      <c r="G115" s="12"/>
      <c r="H115" s="12"/>
    </row>
    <row r="116" spans="1:8" ht="16" thickBot="1" x14ac:dyDescent="0.25">
      <c r="A116" s="13" t="s">
        <v>190</v>
      </c>
      <c r="B116" s="14" t="s">
        <v>72</v>
      </c>
      <c r="C116" s="14" t="s">
        <v>72</v>
      </c>
      <c r="D116" s="14" t="s">
        <v>72</v>
      </c>
      <c r="E116" s="14" t="s">
        <v>72</v>
      </c>
      <c r="F116" s="14" t="s">
        <v>72</v>
      </c>
      <c r="G116" s="14" t="s">
        <v>72</v>
      </c>
      <c r="H116" s="14" t="s">
        <v>72</v>
      </c>
    </row>
    <row r="117" spans="1:8" ht="16" thickBot="1" x14ac:dyDescent="0.25">
      <c r="A117" s="13" t="s">
        <v>191</v>
      </c>
      <c r="B117" s="14" t="s">
        <v>72</v>
      </c>
      <c r="C117" s="14" t="s">
        <v>72</v>
      </c>
      <c r="D117" s="14" t="s">
        <v>72</v>
      </c>
      <c r="E117" s="14" t="s">
        <v>72</v>
      </c>
      <c r="F117" s="14" t="s">
        <v>72</v>
      </c>
      <c r="G117" s="14" t="s">
        <v>72</v>
      </c>
      <c r="H117" s="14" t="s">
        <v>72</v>
      </c>
    </row>
    <row r="118" spans="1:8" ht="16" thickBot="1" x14ac:dyDescent="0.25">
      <c r="A118" s="13" t="s">
        <v>192</v>
      </c>
      <c r="B118" s="14" t="s">
        <v>72</v>
      </c>
      <c r="C118" s="14" t="s">
        <v>72</v>
      </c>
      <c r="D118" s="14" t="s">
        <v>72</v>
      </c>
      <c r="E118" s="14" t="s">
        <v>72</v>
      </c>
      <c r="F118" s="14" t="s">
        <v>72</v>
      </c>
      <c r="G118" s="14" t="s">
        <v>72</v>
      </c>
      <c r="H118" s="14" t="s">
        <v>72</v>
      </c>
    </row>
    <row r="119" spans="1:8" s="55" customFormat="1" ht="16" thickBot="1" x14ac:dyDescent="0.25">
      <c r="A119" s="53" t="s">
        <v>193</v>
      </c>
      <c r="B119" s="54">
        <v>67</v>
      </c>
      <c r="C119" s="54">
        <v>135</v>
      </c>
      <c r="D119" s="54">
        <v>135</v>
      </c>
      <c r="E119" s="54">
        <v>136</v>
      </c>
      <c r="F119" s="54">
        <v>136</v>
      </c>
      <c r="G119" s="54">
        <v>136</v>
      </c>
      <c r="H119" s="54">
        <v>136</v>
      </c>
    </row>
    <row r="120" spans="1:8" ht="16" thickBot="1" x14ac:dyDescent="0.25">
      <c r="A120" s="17" t="s">
        <v>194</v>
      </c>
      <c r="B120" s="18">
        <v>67</v>
      </c>
      <c r="C120" s="18">
        <v>135</v>
      </c>
      <c r="D120" s="18">
        <v>135</v>
      </c>
      <c r="E120" s="18">
        <v>136</v>
      </c>
      <c r="F120" s="18">
        <v>136</v>
      </c>
      <c r="G120" s="18">
        <v>136</v>
      </c>
      <c r="H120" s="18">
        <v>136</v>
      </c>
    </row>
    <row r="121" spans="1:8" ht="16" thickBot="1" x14ac:dyDescent="0.25">
      <c r="A121" s="13" t="s">
        <v>195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</row>
    <row r="122" spans="1:8" ht="16" thickBot="1" x14ac:dyDescent="0.25">
      <c r="A122" s="13" t="s">
        <v>196</v>
      </c>
      <c r="B122" s="14" t="s">
        <v>72</v>
      </c>
      <c r="C122" s="14" t="s">
        <v>72</v>
      </c>
      <c r="D122" s="14" t="s">
        <v>72</v>
      </c>
      <c r="E122" s="14" t="s">
        <v>72</v>
      </c>
      <c r="F122" s="14" t="s">
        <v>72</v>
      </c>
      <c r="G122" s="14" t="s">
        <v>72</v>
      </c>
      <c r="H122" s="14" t="s">
        <v>72</v>
      </c>
    </row>
    <row r="123" spans="1:8" ht="16" thickBot="1" x14ac:dyDescent="0.25">
      <c r="A123" s="13" t="s">
        <v>197</v>
      </c>
      <c r="B123" s="14" t="s">
        <v>72</v>
      </c>
      <c r="C123" s="14" t="s">
        <v>72</v>
      </c>
      <c r="D123" s="14" t="s">
        <v>72</v>
      </c>
      <c r="E123" s="14" t="s">
        <v>72</v>
      </c>
      <c r="F123" s="14" t="s">
        <v>72</v>
      </c>
      <c r="G123" s="14" t="s">
        <v>72</v>
      </c>
      <c r="H123" s="14" t="s">
        <v>72</v>
      </c>
    </row>
    <row r="124" spans="1:8" ht="16" thickBot="1" x14ac:dyDescent="0.25">
      <c r="A124" s="13" t="s">
        <v>198</v>
      </c>
      <c r="B124" s="14" t="s">
        <v>72</v>
      </c>
      <c r="C124" s="14" t="s">
        <v>72</v>
      </c>
      <c r="D124" s="14" t="s">
        <v>72</v>
      </c>
      <c r="E124" s="14" t="s">
        <v>72</v>
      </c>
      <c r="F124" s="14" t="s">
        <v>72</v>
      </c>
      <c r="G124" s="14" t="s">
        <v>72</v>
      </c>
      <c r="H124" s="14" t="s">
        <v>72</v>
      </c>
    </row>
    <row r="125" spans="1:8" ht="16" thickBot="1" x14ac:dyDescent="0.25">
      <c r="A125" s="13" t="s">
        <v>199</v>
      </c>
      <c r="B125" s="14" t="s">
        <v>72</v>
      </c>
      <c r="C125" s="14" t="s">
        <v>72</v>
      </c>
      <c r="D125" s="14" t="s">
        <v>72</v>
      </c>
      <c r="E125" s="14" t="s">
        <v>72</v>
      </c>
      <c r="F125" s="14" t="s">
        <v>72</v>
      </c>
      <c r="G125" s="14" t="s">
        <v>72</v>
      </c>
      <c r="H125" s="14" t="s">
        <v>72</v>
      </c>
    </row>
    <row r="126" spans="1:8" ht="16" thickBot="1" x14ac:dyDescent="0.25">
      <c r="A126" s="13" t="s">
        <v>200</v>
      </c>
      <c r="B126" s="14" t="s">
        <v>72</v>
      </c>
      <c r="C126" s="14" t="s">
        <v>72</v>
      </c>
      <c r="D126" s="14" t="s">
        <v>72</v>
      </c>
      <c r="E126" s="14" t="s">
        <v>72</v>
      </c>
      <c r="F126" s="14" t="s">
        <v>72</v>
      </c>
      <c r="G126" s="14" t="s">
        <v>72</v>
      </c>
      <c r="H126" s="14" t="s">
        <v>72</v>
      </c>
    </row>
    <row r="127" spans="1:8" ht="16" thickBot="1" x14ac:dyDescent="0.25">
      <c r="A127" s="13" t="s">
        <v>201</v>
      </c>
      <c r="B127" s="14" t="s">
        <v>72</v>
      </c>
      <c r="C127" s="14" t="s">
        <v>72</v>
      </c>
      <c r="D127" s="14" t="s">
        <v>72</v>
      </c>
      <c r="E127" s="14" t="s">
        <v>72</v>
      </c>
      <c r="F127" s="14" t="s">
        <v>72</v>
      </c>
      <c r="G127" s="14" t="s">
        <v>72</v>
      </c>
      <c r="H127" s="14" t="s">
        <v>72</v>
      </c>
    </row>
    <row r="128" spans="1:8" ht="16" thickBot="1" x14ac:dyDescent="0.25">
      <c r="A128" s="13" t="s">
        <v>202</v>
      </c>
      <c r="B128" s="14" t="s">
        <v>72</v>
      </c>
      <c r="C128" s="14" t="s">
        <v>72</v>
      </c>
      <c r="D128" s="14" t="s">
        <v>72</v>
      </c>
      <c r="E128" s="14" t="s">
        <v>72</v>
      </c>
      <c r="F128" s="14" t="s">
        <v>72</v>
      </c>
      <c r="G128" s="14" t="s">
        <v>72</v>
      </c>
      <c r="H128" s="14" t="s">
        <v>72</v>
      </c>
    </row>
    <row r="129" spans="1:8" ht="16" thickBot="1" x14ac:dyDescent="0.25">
      <c r="A129" s="13" t="s">
        <v>203</v>
      </c>
      <c r="B129" s="14" t="s">
        <v>72</v>
      </c>
      <c r="C129" s="14" t="s">
        <v>72</v>
      </c>
      <c r="D129" s="14" t="s">
        <v>72</v>
      </c>
      <c r="E129" s="14" t="s">
        <v>72</v>
      </c>
      <c r="F129" s="14" t="s">
        <v>72</v>
      </c>
      <c r="G129" s="14" t="s">
        <v>72</v>
      </c>
      <c r="H129" s="14" t="s">
        <v>72</v>
      </c>
    </row>
    <row r="130" spans="1:8" ht="16" thickBot="1" x14ac:dyDescent="0.25">
      <c r="A130" s="13" t="s">
        <v>204</v>
      </c>
      <c r="B130" s="14" t="s">
        <v>72</v>
      </c>
      <c r="C130" s="14" t="s">
        <v>72</v>
      </c>
      <c r="D130" s="14" t="s">
        <v>72</v>
      </c>
      <c r="E130" s="14" t="s">
        <v>72</v>
      </c>
      <c r="F130" s="14" t="s">
        <v>72</v>
      </c>
      <c r="G130" s="14" t="s">
        <v>72</v>
      </c>
      <c r="H130" s="14" t="s">
        <v>72</v>
      </c>
    </row>
    <row r="131" spans="1:8" ht="16" thickBot="1" x14ac:dyDescent="0.25">
      <c r="A131" s="13" t="s">
        <v>205</v>
      </c>
      <c r="B131" s="14" t="s">
        <v>72</v>
      </c>
      <c r="C131" s="14" t="s">
        <v>72</v>
      </c>
      <c r="D131" s="14" t="s">
        <v>72</v>
      </c>
      <c r="E131" s="14" t="s">
        <v>72</v>
      </c>
      <c r="F131" s="14" t="s">
        <v>72</v>
      </c>
      <c r="G131" s="14" t="s">
        <v>72</v>
      </c>
      <c r="H131" s="14" t="s">
        <v>72</v>
      </c>
    </row>
    <row r="132" spans="1:8" ht="16" thickBot="1" x14ac:dyDescent="0.25">
      <c r="A132" s="13" t="s">
        <v>206</v>
      </c>
      <c r="B132" s="14" t="s">
        <v>72</v>
      </c>
      <c r="C132" s="14" t="s">
        <v>72</v>
      </c>
      <c r="D132" s="14" t="s">
        <v>72</v>
      </c>
      <c r="E132" s="14" t="s">
        <v>72</v>
      </c>
      <c r="F132" s="14" t="s">
        <v>72</v>
      </c>
      <c r="G132" s="14" t="s">
        <v>72</v>
      </c>
      <c r="H132" s="14" t="s">
        <v>72</v>
      </c>
    </row>
    <row r="133" spans="1:8" ht="16" thickBot="1" x14ac:dyDescent="0.25">
      <c r="A133" s="13" t="s">
        <v>207</v>
      </c>
      <c r="B133" s="14" t="s">
        <v>72</v>
      </c>
      <c r="C133" s="14" t="s">
        <v>72</v>
      </c>
      <c r="D133" s="14" t="s">
        <v>72</v>
      </c>
      <c r="E133" s="14" t="s">
        <v>72</v>
      </c>
      <c r="F133" s="14" t="s">
        <v>72</v>
      </c>
      <c r="G133" s="14" t="s">
        <v>72</v>
      </c>
      <c r="H133" s="14" t="s">
        <v>72</v>
      </c>
    </row>
    <row r="134" spans="1:8" ht="16" thickBot="1" x14ac:dyDescent="0.25">
      <c r="A134" s="13" t="s">
        <v>208</v>
      </c>
      <c r="B134" s="14">
        <v>515230</v>
      </c>
      <c r="C134" s="14">
        <v>796454</v>
      </c>
      <c r="D134" s="14">
        <v>1133783</v>
      </c>
      <c r="E134" s="14">
        <v>1273726</v>
      </c>
      <c r="F134" s="14">
        <v>1213726</v>
      </c>
      <c r="G134" s="14">
        <v>1662208</v>
      </c>
      <c r="H134" s="14">
        <v>2008231</v>
      </c>
    </row>
    <row r="135" spans="1:8" ht="16" thickBot="1" x14ac:dyDescent="0.25">
      <c r="A135" s="13" t="s">
        <v>209</v>
      </c>
      <c r="B135" s="14">
        <v>5270</v>
      </c>
      <c r="C135" s="14">
        <v>5905</v>
      </c>
      <c r="D135" s="14">
        <v>5656</v>
      </c>
      <c r="E135" s="14">
        <v>7234</v>
      </c>
      <c r="F135" s="14">
        <v>7123</v>
      </c>
      <c r="G135" s="14">
        <v>10078</v>
      </c>
      <c r="H135" s="14">
        <v>15481</v>
      </c>
    </row>
    <row r="136" spans="1:8" ht="16" thickBot="1" x14ac:dyDescent="0.25">
      <c r="A136" s="13" t="s">
        <v>210</v>
      </c>
      <c r="B136" s="14" t="s">
        <v>72</v>
      </c>
      <c r="C136" s="14" t="s">
        <v>72</v>
      </c>
      <c r="D136" s="14" t="s">
        <v>72</v>
      </c>
      <c r="E136" s="14" t="s">
        <v>72</v>
      </c>
      <c r="F136" s="14" t="s">
        <v>72</v>
      </c>
      <c r="G136" s="14" t="s">
        <v>72</v>
      </c>
      <c r="H136" s="14" t="s">
        <v>72</v>
      </c>
    </row>
    <row r="137" spans="1:8" ht="16" thickBot="1" x14ac:dyDescent="0.25">
      <c r="A137" s="13" t="s">
        <v>211</v>
      </c>
      <c r="B137" s="14" t="s">
        <v>72</v>
      </c>
      <c r="C137" s="14" t="s">
        <v>72</v>
      </c>
      <c r="D137" s="14" t="s">
        <v>72</v>
      </c>
      <c r="E137" s="14" t="s">
        <v>72</v>
      </c>
      <c r="F137" s="14" t="s">
        <v>72</v>
      </c>
      <c r="G137" s="14" t="s">
        <v>72</v>
      </c>
      <c r="H137" s="14" t="s">
        <v>72</v>
      </c>
    </row>
    <row r="138" spans="1:8" ht="16" thickBot="1" x14ac:dyDescent="0.25">
      <c r="A138" s="13" t="s">
        <v>212</v>
      </c>
      <c r="B138" s="14" t="s">
        <v>72</v>
      </c>
      <c r="C138" s="14" t="s">
        <v>72</v>
      </c>
      <c r="D138" s="14" t="s">
        <v>72</v>
      </c>
      <c r="E138" s="14" t="s">
        <v>72</v>
      </c>
      <c r="F138" s="14" t="s">
        <v>72</v>
      </c>
      <c r="G138" s="14" t="s">
        <v>72</v>
      </c>
      <c r="H138" s="14" t="s">
        <v>72</v>
      </c>
    </row>
    <row r="139" spans="1:8" ht="16" thickBot="1" x14ac:dyDescent="0.25">
      <c r="A139" s="13" t="s">
        <v>213</v>
      </c>
      <c r="B139" s="14" t="s">
        <v>72</v>
      </c>
      <c r="C139" s="14" t="s">
        <v>72</v>
      </c>
      <c r="D139" s="14" t="s">
        <v>72</v>
      </c>
      <c r="E139" s="14" t="s">
        <v>72</v>
      </c>
      <c r="F139" s="14" t="s">
        <v>72</v>
      </c>
      <c r="G139" s="14" t="s">
        <v>72</v>
      </c>
      <c r="H139" s="14" t="s">
        <v>72</v>
      </c>
    </row>
    <row r="140" spans="1:8" ht="16" thickBot="1" x14ac:dyDescent="0.25">
      <c r="A140" s="13" t="s">
        <v>214</v>
      </c>
      <c r="B140" s="14" t="s">
        <v>72</v>
      </c>
      <c r="C140" s="14" t="s">
        <v>72</v>
      </c>
      <c r="D140" s="14" t="s">
        <v>72</v>
      </c>
      <c r="E140" s="14" t="s">
        <v>72</v>
      </c>
      <c r="F140" s="14" t="s">
        <v>72</v>
      </c>
      <c r="G140" s="14" t="s">
        <v>72</v>
      </c>
      <c r="H140" s="14" t="s">
        <v>72</v>
      </c>
    </row>
    <row r="141" spans="1:8" ht="16" thickBot="1" x14ac:dyDescent="0.25">
      <c r="A141" s="13" t="s">
        <v>215</v>
      </c>
      <c r="B141" s="14" t="s">
        <v>72</v>
      </c>
      <c r="C141" s="14" t="s">
        <v>72</v>
      </c>
      <c r="D141" s="14" t="s">
        <v>72</v>
      </c>
      <c r="E141" s="14" t="s">
        <v>72</v>
      </c>
      <c r="F141" s="14" t="s">
        <v>72</v>
      </c>
      <c r="G141" s="14" t="s">
        <v>72</v>
      </c>
      <c r="H141" s="14" t="s">
        <v>72</v>
      </c>
    </row>
    <row r="142" spans="1:8" ht="16" thickBot="1" x14ac:dyDescent="0.25">
      <c r="A142" s="13" t="s">
        <v>216</v>
      </c>
      <c r="B142" s="14">
        <v>3052</v>
      </c>
      <c r="C142" s="14">
        <v>3639</v>
      </c>
      <c r="D142" s="14">
        <v>4044</v>
      </c>
      <c r="E142" s="14">
        <v>4459</v>
      </c>
      <c r="F142" s="14">
        <v>4956</v>
      </c>
      <c r="G142" s="14">
        <v>7181</v>
      </c>
      <c r="H142" s="14">
        <v>11752</v>
      </c>
    </row>
    <row r="143" spans="1:8" ht="16" thickBot="1" x14ac:dyDescent="0.25">
      <c r="A143" s="13" t="s">
        <v>217</v>
      </c>
      <c r="B143" s="14" t="s">
        <v>72</v>
      </c>
      <c r="C143" s="14" t="s">
        <v>72</v>
      </c>
      <c r="D143" s="14" t="s">
        <v>72</v>
      </c>
      <c r="E143" s="14" t="s">
        <v>72</v>
      </c>
      <c r="F143" s="14" t="s">
        <v>72</v>
      </c>
      <c r="G143" s="14" t="s">
        <v>72</v>
      </c>
      <c r="H143" s="14" t="s">
        <v>72</v>
      </c>
    </row>
    <row r="144" spans="1:8" ht="16" thickBot="1" x14ac:dyDescent="0.25">
      <c r="A144" s="13" t="s">
        <v>218</v>
      </c>
      <c r="B144" s="14" t="s">
        <v>72</v>
      </c>
      <c r="C144" s="14" t="s">
        <v>72</v>
      </c>
      <c r="D144" s="14" t="s">
        <v>72</v>
      </c>
      <c r="E144" s="14" t="s">
        <v>72</v>
      </c>
      <c r="F144" s="14" t="s">
        <v>72</v>
      </c>
      <c r="G144" s="14" t="s">
        <v>72</v>
      </c>
      <c r="H144" s="14" t="s">
        <v>72</v>
      </c>
    </row>
    <row r="145" spans="1:8" ht="16" thickBot="1" x14ac:dyDescent="0.25">
      <c r="A145" s="13" t="s">
        <v>219</v>
      </c>
      <c r="B145" s="14" t="s">
        <v>72</v>
      </c>
      <c r="C145" s="14" t="s">
        <v>72</v>
      </c>
      <c r="D145" s="14" t="s">
        <v>72</v>
      </c>
      <c r="E145" s="14" t="s">
        <v>72</v>
      </c>
      <c r="F145" s="14" t="s">
        <v>72</v>
      </c>
      <c r="G145" s="14" t="s">
        <v>72</v>
      </c>
      <c r="H145" s="14" t="s">
        <v>72</v>
      </c>
    </row>
    <row r="146" spans="1:8" ht="16" thickBot="1" x14ac:dyDescent="0.25">
      <c r="A146" s="13" t="s">
        <v>220</v>
      </c>
      <c r="B146" s="14" t="s">
        <v>72</v>
      </c>
      <c r="C146" s="14" t="s">
        <v>72</v>
      </c>
      <c r="D146" s="14" t="s">
        <v>72</v>
      </c>
      <c r="E146" s="14" t="s">
        <v>72</v>
      </c>
      <c r="F146" s="14" t="s">
        <v>72</v>
      </c>
      <c r="G146" s="14" t="s">
        <v>72</v>
      </c>
      <c r="H146" s="14" t="s">
        <v>72</v>
      </c>
    </row>
    <row r="147" spans="1:8" ht="16" thickBot="1" x14ac:dyDescent="0.25">
      <c r="A147" s="13" t="s">
        <v>221</v>
      </c>
      <c r="B147" s="14" t="s">
        <v>72</v>
      </c>
      <c r="C147" s="14" t="s">
        <v>72</v>
      </c>
      <c r="D147" s="14" t="s">
        <v>72</v>
      </c>
      <c r="E147" s="14" t="s">
        <v>72</v>
      </c>
      <c r="F147" s="14" t="s">
        <v>72</v>
      </c>
      <c r="G147" s="14" t="s">
        <v>72</v>
      </c>
      <c r="H147" s="14" t="s">
        <v>72</v>
      </c>
    </row>
    <row r="148" spans="1:8" ht="16" thickBot="1" x14ac:dyDescent="0.25">
      <c r="A148" s="13" t="s">
        <v>222</v>
      </c>
      <c r="B148" s="14" t="s">
        <v>72</v>
      </c>
      <c r="C148" s="14" t="s">
        <v>72</v>
      </c>
      <c r="D148" s="14" t="s">
        <v>72</v>
      </c>
      <c r="E148" s="14" t="s">
        <v>72</v>
      </c>
      <c r="F148" s="14" t="s">
        <v>72</v>
      </c>
      <c r="G148" s="14" t="s">
        <v>72</v>
      </c>
      <c r="H148" s="14" t="s">
        <v>72</v>
      </c>
    </row>
    <row r="149" spans="1:8" ht="16" thickBot="1" x14ac:dyDescent="0.25">
      <c r="A149" s="13" t="s">
        <v>223</v>
      </c>
      <c r="B149" s="14" t="s">
        <v>72</v>
      </c>
      <c r="C149" s="14" t="s">
        <v>72</v>
      </c>
      <c r="D149" s="14" t="s">
        <v>72</v>
      </c>
      <c r="E149" s="14" t="s">
        <v>72</v>
      </c>
      <c r="F149" s="14" t="s">
        <v>72</v>
      </c>
      <c r="G149" s="14" t="s">
        <v>72</v>
      </c>
      <c r="H149" s="14" t="s">
        <v>72</v>
      </c>
    </row>
    <row r="150" spans="1:8" ht="16" thickBot="1" x14ac:dyDescent="0.25">
      <c r="A150" s="13" t="s">
        <v>224</v>
      </c>
      <c r="B150" s="14" t="s">
        <v>72</v>
      </c>
      <c r="C150" s="14" t="s">
        <v>72</v>
      </c>
      <c r="D150" s="14" t="s">
        <v>72</v>
      </c>
      <c r="E150" s="14" t="s">
        <v>72</v>
      </c>
      <c r="F150" s="14" t="s">
        <v>72</v>
      </c>
      <c r="G150" s="14" t="s">
        <v>72</v>
      </c>
      <c r="H150" s="14" t="s">
        <v>72</v>
      </c>
    </row>
    <row r="151" spans="1:8" ht="16" thickBot="1" x14ac:dyDescent="0.25">
      <c r="A151" s="13" t="s">
        <v>225</v>
      </c>
      <c r="B151" s="14" t="s">
        <v>72</v>
      </c>
      <c r="C151" s="14" t="s">
        <v>72</v>
      </c>
      <c r="D151" s="14" t="s">
        <v>72</v>
      </c>
      <c r="E151" s="14" t="s">
        <v>72</v>
      </c>
      <c r="F151" s="14" t="s">
        <v>72</v>
      </c>
      <c r="G151" s="14" t="s">
        <v>72</v>
      </c>
      <c r="H151" s="14" t="s">
        <v>72</v>
      </c>
    </row>
    <row r="152" spans="1:8" ht="16" thickBot="1" x14ac:dyDescent="0.25">
      <c r="A152" s="13" t="s">
        <v>226</v>
      </c>
      <c r="B152" s="14" t="s">
        <v>72</v>
      </c>
      <c r="C152" s="14" t="s">
        <v>72</v>
      </c>
      <c r="D152" s="14" t="s">
        <v>72</v>
      </c>
      <c r="E152" s="14" t="s">
        <v>72</v>
      </c>
      <c r="F152" s="14" t="s">
        <v>72</v>
      </c>
      <c r="G152" s="14" t="s">
        <v>72</v>
      </c>
      <c r="H152" s="14" t="s">
        <v>72</v>
      </c>
    </row>
    <row r="153" spans="1:8" ht="16" thickBot="1" x14ac:dyDescent="0.25">
      <c r="A153" s="13" t="s">
        <v>227</v>
      </c>
      <c r="B153" s="14" t="s">
        <v>72</v>
      </c>
      <c r="C153" s="14" t="s">
        <v>72</v>
      </c>
      <c r="D153" s="14" t="s">
        <v>72</v>
      </c>
      <c r="E153" s="14" t="s">
        <v>72</v>
      </c>
      <c r="F153" s="14" t="s">
        <v>72</v>
      </c>
      <c r="G153" s="14" t="s">
        <v>72</v>
      </c>
      <c r="H153" s="14" t="s">
        <v>72</v>
      </c>
    </row>
    <row r="154" spans="1:8" ht="16" thickBot="1" x14ac:dyDescent="0.25">
      <c r="A154" s="13" t="s">
        <v>228</v>
      </c>
      <c r="B154" s="14" t="s">
        <v>72</v>
      </c>
      <c r="C154" s="14" t="s">
        <v>72</v>
      </c>
      <c r="D154" s="14" t="s">
        <v>72</v>
      </c>
      <c r="E154" s="14" t="s">
        <v>72</v>
      </c>
      <c r="F154" s="14" t="s">
        <v>72</v>
      </c>
      <c r="G154" s="14" t="s">
        <v>72</v>
      </c>
      <c r="H154" s="14" t="s">
        <v>72</v>
      </c>
    </row>
    <row r="155" spans="1:8" ht="16" thickBot="1" x14ac:dyDescent="0.25">
      <c r="A155" s="13" t="s">
        <v>229</v>
      </c>
      <c r="B155" s="14" t="s">
        <v>72</v>
      </c>
      <c r="C155" s="14" t="s">
        <v>72</v>
      </c>
      <c r="D155" s="14" t="s">
        <v>72</v>
      </c>
      <c r="E155" s="14" t="s">
        <v>72</v>
      </c>
      <c r="F155" s="14" t="s">
        <v>72</v>
      </c>
      <c r="G155" s="14" t="s">
        <v>72</v>
      </c>
      <c r="H155" s="14" t="s">
        <v>72</v>
      </c>
    </row>
    <row r="156" spans="1:8" ht="16" thickBot="1" x14ac:dyDescent="0.25">
      <c r="A156" s="13" t="s">
        <v>230</v>
      </c>
      <c r="B156" s="14" t="s">
        <v>72</v>
      </c>
      <c r="C156" s="14" t="s">
        <v>72</v>
      </c>
      <c r="D156" s="14" t="s">
        <v>72</v>
      </c>
      <c r="E156" s="14" t="s">
        <v>72</v>
      </c>
      <c r="F156" s="14" t="s">
        <v>72</v>
      </c>
      <c r="G156" s="14" t="s">
        <v>72</v>
      </c>
      <c r="H156" s="14" t="s">
        <v>72</v>
      </c>
    </row>
    <row r="157" spans="1:8" ht="16" thickBot="1" x14ac:dyDescent="0.25">
      <c r="A157" s="13" t="s">
        <v>231</v>
      </c>
      <c r="B157" s="14" t="s">
        <v>72</v>
      </c>
      <c r="C157" s="14" t="s">
        <v>72</v>
      </c>
      <c r="D157" s="14" t="s">
        <v>72</v>
      </c>
      <c r="E157" s="14" t="s">
        <v>72</v>
      </c>
      <c r="F157" s="14" t="s">
        <v>72</v>
      </c>
      <c r="G157" s="14" t="s">
        <v>72</v>
      </c>
      <c r="H157" s="14" t="s">
        <v>72</v>
      </c>
    </row>
    <row r="158" spans="1:8" ht="16" thickBot="1" x14ac:dyDescent="0.25">
      <c r="A158" s="13" t="s">
        <v>232</v>
      </c>
      <c r="B158" s="14">
        <v>34948</v>
      </c>
      <c r="C158" s="14">
        <v>13232</v>
      </c>
      <c r="D158" s="14">
        <v>13918</v>
      </c>
      <c r="E158" s="14">
        <v>19464</v>
      </c>
      <c r="F158" s="14">
        <v>28401</v>
      </c>
      <c r="G158" s="14">
        <v>54212</v>
      </c>
      <c r="H158" s="14">
        <v>35297</v>
      </c>
    </row>
    <row r="159" spans="1:8" ht="16" thickBot="1" x14ac:dyDescent="0.25">
      <c r="A159" s="13" t="s">
        <v>233</v>
      </c>
      <c r="B159" s="14" t="s">
        <v>72</v>
      </c>
      <c r="C159" s="14" t="s">
        <v>72</v>
      </c>
      <c r="D159" s="14" t="s">
        <v>72</v>
      </c>
      <c r="E159" s="14" t="s">
        <v>72</v>
      </c>
      <c r="F159" s="14" t="s">
        <v>72</v>
      </c>
      <c r="G159" s="14" t="s">
        <v>72</v>
      </c>
      <c r="H159" s="14" t="s">
        <v>72</v>
      </c>
    </row>
    <row r="160" spans="1:8" ht="16" thickBot="1" x14ac:dyDescent="0.25">
      <c r="A160" s="13" t="s">
        <v>234</v>
      </c>
      <c r="B160" s="14" t="s">
        <v>72</v>
      </c>
      <c r="C160" s="14" t="s">
        <v>72</v>
      </c>
      <c r="D160" s="14" t="s">
        <v>72</v>
      </c>
      <c r="E160" s="14" t="s">
        <v>72</v>
      </c>
      <c r="F160" s="14" t="s">
        <v>72</v>
      </c>
      <c r="G160" s="14" t="s">
        <v>72</v>
      </c>
      <c r="H160" s="14" t="s">
        <v>72</v>
      </c>
    </row>
    <row r="161" spans="1:8" ht="16" thickBot="1" x14ac:dyDescent="0.25">
      <c r="A161" s="13" t="s">
        <v>235</v>
      </c>
      <c r="B161" s="14" t="s">
        <v>72</v>
      </c>
      <c r="C161" s="14" t="s">
        <v>72</v>
      </c>
      <c r="D161" s="14" t="s">
        <v>72</v>
      </c>
      <c r="E161" s="14" t="s">
        <v>72</v>
      </c>
      <c r="F161" s="14" t="s">
        <v>72</v>
      </c>
      <c r="G161" s="14" t="s">
        <v>72</v>
      </c>
      <c r="H161" s="14" t="s">
        <v>72</v>
      </c>
    </row>
    <row r="162" spans="1:8" ht="16" thickBot="1" x14ac:dyDescent="0.25">
      <c r="A162" s="13" t="s">
        <v>236</v>
      </c>
      <c r="B162" s="14" t="s">
        <v>72</v>
      </c>
      <c r="C162" s="14" t="s">
        <v>72</v>
      </c>
      <c r="D162" s="14" t="s">
        <v>72</v>
      </c>
      <c r="E162" s="14" t="s">
        <v>72</v>
      </c>
      <c r="F162" s="14" t="s">
        <v>72</v>
      </c>
      <c r="G162" s="14" t="s">
        <v>72</v>
      </c>
      <c r="H162" s="14" t="s">
        <v>72</v>
      </c>
    </row>
    <row r="163" spans="1:8" ht="16" thickBot="1" x14ac:dyDescent="0.25">
      <c r="A163" s="13" t="s">
        <v>237</v>
      </c>
      <c r="B163" s="14" t="s">
        <v>72</v>
      </c>
      <c r="C163" s="14" t="s">
        <v>72</v>
      </c>
      <c r="D163" s="14" t="s">
        <v>72</v>
      </c>
      <c r="E163" s="14" t="s">
        <v>72</v>
      </c>
      <c r="F163" s="14" t="s">
        <v>72</v>
      </c>
      <c r="G163" s="14" t="s">
        <v>72</v>
      </c>
      <c r="H163" s="14" t="s">
        <v>72</v>
      </c>
    </row>
    <row r="164" spans="1:8" ht="16" thickBot="1" x14ac:dyDescent="0.25">
      <c r="A164" s="13" t="s">
        <v>238</v>
      </c>
      <c r="B164" s="14" t="s">
        <v>72</v>
      </c>
      <c r="C164" s="14" t="s">
        <v>72</v>
      </c>
      <c r="D164" s="14" t="s">
        <v>72</v>
      </c>
      <c r="E164" s="14" t="s">
        <v>72</v>
      </c>
      <c r="F164" s="14" t="s">
        <v>72</v>
      </c>
      <c r="G164" s="14" t="s">
        <v>72</v>
      </c>
      <c r="H164" s="14" t="s">
        <v>72</v>
      </c>
    </row>
    <row r="165" spans="1:8" ht="16" thickBot="1" x14ac:dyDescent="0.25">
      <c r="A165" s="13" t="s">
        <v>239</v>
      </c>
      <c r="B165" s="14" t="s">
        <v>72</v>
      </c>
      <c r="C165" s="14" t="s">
        <v>72</v>
      </c>
      <c r="D165" s="14" t="s">
        <v>72</v>
      </c>
      <c r="E165" s="14" t="s">
        <v>72</v>
      </c>
      <c r="F165" s="14" t="s">
        <v>72</v>
      </c>
      <c r="G165" s="14" t="s">
        <v>72</v>
      </c>
      <c r="H165" s="14" t="s">
        <v>72</v>
      </c>
    </row>
    <row r="166" spans="1:8" ht="16" thickBot="1" x14ac:dyDescent="0.25">
      <c r="A166" s="13" t="s">
        <v>240</v>
      </c>
      <c r="B166" s="14" t="s">
        <v>72</v>
      </c>
      <c r="C166" s="14" t="s">
        <v>72</v>
      </c>
      <c r="D166" s="14" t="s">
        <v>72</v>
      </c>
      <c r="E166" s="14" t="s">
        <v>72</v>
      </c>
      <c r="F166" s="14" t="s">
        <v>72</v>
      </c>
      <c r="G166" s="14" t="s">
        <v>72</v>
      </c>
      <c r="H166" s="14" t="s">
        <v>72</v>
      </c>
    </row>
    <row r="167" spans="1:8" ht="16" thickBot="1" x14ac:dyDescent="0.25">
      <c r="A167" s="13" t="s">
        <v>241</v>
      </c>
      <c r="B167" s="14" t="s">
        <v>72</v>
      </c>
      <c r="C167" s="14" t="s">
        <v>72</v>
      </c>
      <c r="D167" s="14" t="s">
        <v>72</v>
      </c>
      <c r="E167" s="14" t="s">
        <v>72</v>
      </c>
      <c r="F167" s="14" t="s">
        <v>72</v>
      </c>
      <c r="G167" s="14" t="s">
        <v>72</v>
      </c>
      <c r="H167" s="14" t="s">
        <v>72</v>
      </c>
    </row>
    <row r="168" spans="1:8" ht="16" thickBot="1" x14ac:dyDescent="0.25">
      <c r="A168" s="13" t="s">
        <v>242</v>
      </c>
      <c r="B168" s="14" t="s">
        <v>72</v>
      </c>
      <c r="C168" s="14" t="s">
        <v>72</v>
      </c>
      <c r="D168" s="14" t="s">
        <v>72</v>
      </c>
      <c r="E168" s="14" t="s">
        <v>72</v>
      </c>
      <c r="F168" s="14" t="s">
        <v>72</v>
      </c>
      <c r="G168" s="14" t="s">
        <v>72</v>
      </c>
      <c r="H168" s="14" t="s">
        <v>72</v>
      </c>
    </row>
    <row r="169" spans="1:8" ht="16" thickBot="1" x14ac:dyDescent="0.25">
      <c r="A169" s="13" t="s">
        <v>243</v>
      </c>
      <c r="B169" s="14" t="s">
        <v>72</v>
      </c>
      <c r="C169" s="14" t="s">
        <v>72</v>
      </c>
      <c r="D169" s="14" t="s">
        <v>72</v>
      </c>
      <c r="E169" s="14" t="s">
        <v>72</v>
      </c>
      <c r="F169" s="14" t="s">
        <v>72</v>
      </c>
      <c r="G169" s="14" t="s">
        <v>72</v>
      </c>
      <c r="H169" s="14" t="s">
        <v>72</v>
      </c>
    </row>
    <row r="170" spans="1:8" ht="16" thickBot="1" x14ac:dyDescent="0.25">
      <c r="A170" s="13" t="s">
        <v>244</v>
      </c>
      <c r="B170" s="14" t="s">
        <v>72</v>
      </c>
      <c r="C170" s="14" t="s">
        <v>72</v>
      </c>
      <c r="D170" s="14" t="s">
        <v>72</v>
      </c>
      <c r="E170" s="14" t="s">
        <v>72</v>
      </c>
      <c r="F170" s="14" t="s">
        <v>72</v>
      </c>
      <c r="G170" s="14" t="s">
        <v>72</v>
      </c>
      <c r="H170" s="14" t="s">
        <v>72</v>
      </c>
    </row>
    <row r="171" spans="1:8" ht="16" thickBot="1" x14ac:dyDescent="0.25">
      <c r="A171" s="13" t="s">
        <v>245</v>
      </c>
      <c r="B171" s="21" t="s">
        <v>72</v>
      </c>
      <c r="C171" s="21" t="s">
        <v>72</v>
      </c>
      <c r="D171" s="21" t="s">
        <v>72</v>
      </c>
      <c r="E171" s="21" t="s">
        <v>72</v>
      </c>
      <c r="F171" s="21" t="s">
        <v>72</v>
      </c>
      <c r="G171" s="21" t="s">
        <v>72</v>
      </c>
      <c r="H171" s="21" t="s">
        <v>72</v>
      </c>
    </row>
    <row r="172" spans="1:8" ht="16" thickBot="1" x14ac:dyDescent="0.25">
      <c r="A172" s="13" t="s">
        <v>246</v>
      </c>
      <c r="B172" s="21" t="s">
        <v>72</v>
      </c>
      <c r="C172" s="21" t="s">
        <v>72</v>
      </c>
      <c r="D172" s="21" t="s">
        <v>72</v>
      </c>
      <c r="E172" s="21" t="s">
        <v>72</v>
      </c>
      <c r="F172" s="21" t="s">
        <v>72</v>
      </c>
      <c r="G172" s="21" t="s">
        <v>72</v>
      </c>
      <c r="H172" s="21" t="s">
        <v>72</v>
      </c>
    </row>
    <row r="173" spans="1:8" ht="16" thickBot="1" x14ac:dyDescent="0.25">
      <c r="A173" s="13" t="s">
        <v>247</v>
      </c>
      <c r="B173" s="21" t="s">
        <v>72</v>
      </c>
      <c r="C173" s="21" t="s">
        <v>72</v>
      </c>
      <c r="D173" s="21" t="s">
        <v>72</v>
      </c>
      <c r="E173" s="21" t="s">
        <v>72</v>
      </c>
      <c r="F173" s="21" t="s">
        <v>72</v>
      </c>
      <c r="G173" s="21" t="s">
        <v>72</v>
      </c>
      <c r="H173" s="21" t="s">
        <v>72</v>
      </c>
    </row>
    <row r="174" spans="1:8" ht="16" thickBot="1" x14ac:dyDescent="0.25">
      <c r="A174" s="13" t="s">
        <v>248</v>
      </c>
      <c r="B174" s="14" t="s">
        <v>72</v>
      </c>
      <c r="C174" s="14" t="s">
        <v>72</v>
      </c>
      <c r="D174" s="14" t="s">
        <v>72</v>
      </c>
      <c r="E174" s="14" t="s">
        <v>72</v>
      </c>
      <c r="F174" s="14" t="s">
        <v>72</v>
      </c>
      <c r="G174" s="14" t="s">
        <v>72</v>
      </c>
      <c r="H174" s="14" t="s">
        <v>72</v>
      </c>
    </row>
    <row r="175" spans="1:8" ht="16" thickBot="1" x14ac:dyDescent="0.25">
      <c r="A175" s="13" t="s">
        <v>249</v>
      </c>
      <c r="B175" s="14" t="s">
        <v>72</v>
      </c>
      <c r="C175" s="14" t="s">
        <v>72</v>
      </c>
      <c r="D175" s="14" t="s">
        <v>72</v>
      </c>
      <c r="E175" s="14" t="s">
        <v>72</v>
      </c>
      <c r="F175" s="14" t="s">
        <v>72</v>
      </c>
      <c r="G175" s="14" t="s">
        <v>72</v>
      </c>
      <c r="H175" s="14" t="s">
        <v>72</v>
      </c>
    </row>
    <row r="176" spans="1:8" ht="16" thickBot="1" x14ac:dyDescent="0.25">
      <c r="A176" s="13" t="s">
        <v>250</v>
      </c>
      <c r="B176" s="14" t="s">
        <v>72</v>
      </c>
      <c r="C176" s="14" t="s">
        <v>72</v>
      </c>
      <c r="D176" s="14" t="s">
        <v>72</v>
      </c>
      <c r="E176" s="14" t="s">
        <v>72</v>
      </c>
      <c r="F176" s="14" t="s">
        <v>72</v>
      </c>
      <c r="G176" s="14" t="s">
        <v>72</v>
      </c>
      <c r="H176" s="14" t="s">
        <v>72</v>
      </c>
    </row>
    <row r="177" spans="1:8" ht="16" thickBot="1" x14ac:dyDescent="0.25">
      <c r="A177" s="13" t="s">
        <v>251</v>
      </c>
      <c r="B177" s="14" t="s">
        <v>72</v>
      </c>
      <c r="C177" s="14" t="s">
        <v>72</v>
      </c>
      <c r="D177" s="14" t="s">
        <v>72</v>
      </c>
      <c r="E177" s="14" t="s">
        <v>72</v>
      </c>
      <c r="F177" s="14" t="s">
        <v>72</v>
      </c>
      <c r="G177" s="14" t="s">
        <v>72</v>
      </c>
      <c r="H177" s="14" t="s">
        <v>72</v>
      </c>
    </row>
    <row r="178" spans="1:8" ht="16" thickBot="1" x14ac:dyDescent="0.25">
      <c r="A178" s="13" t="s">
        <v>252</v>
      </c>
      <c r="B178" s="14" t="s">
        <v>72</v>
      </c>
      <c r="C178" s="14" t="s">
        <v>72</v>
      </c>
      <c r="D178" s="14" t="s">
        <v>72</v>
      </c>
      <c r="E178" s="14" t="s">
        <v>72</v>
      </c>
      <c r="F178" s="14" t="s">
        <v>72</v>
      </c>
      <c r="G178" s="14" t="s">
        <v>72</v>
      </c>
      <c r="H178" s="14" t="s">
        <v>72</v>
      </c>
    </row>
    <row r="179" spans="1:8" ht="16" thickBot="1" x14ac:dyDescent="0.25">
      <c r="A179" s="13" t="s">
        <v>253</v>
      </c>
      <c r="B179" s="14" t="s">
        <v>72</v>
      </c>
      <c r="C179" s="14" t="s">
        <v>72</v>
      </c>
      <c r="D179" s="14" t="s">
        <v>72</v>
      </c>
      <c r="E179" s="14" t="s">
        <v>72</v>
      </c>
      <c r="F179" s="14" t="s">
        <v>72</v>
      </c>
      <c r="G179" s="14" t="s">
        <v>72</v>
      </c>
      <c r="H179" s="14" t="s">
        <v>72</v>
      </c>
    </row>
    <row r="180" spans="1:8" ht="16" thickBot="1" x14ac:dyDescent="0.25">
      <c r="A180" s="13" t="s">
        <v>254</v>
      </c>
      <c r="B180" s="14" t="s">
        <v>72</v>
      </c>
      <c r="C180" s="14" t="s">
        <v>72</v>
      </c>
      <c r="D180" s="14" t="s">
        <v>72</v>
      </c>
      <c r="E180" s="14" t="s">
        <v>72</v>
      </c>
      <c r="F180" s="14" t="s">
        <v>72</v>
      </c>
      <c r="G180" s="14" t="s">
        <v>72</v>
      </c>
      <c r="H180" s="14" t="s">
        <v>72</v>
      </c>
    </row>
    <row r="181" spans="1:8" ht="16" thickBot="1" x14ac:dyDescent="0.25">
      <c r="A181" s="13" t="s">
        <v>255</v>
      </c>
      <c r="B181" s="21" t="s">
        <v>72</v>
      </c>
      <c r="C181" s="21" t="s">
        <v>72</v>
      </c>
      <c r="D181" s="21" t="s">
        <v>72</v>
      </c>
      <c r="E181" s="21" t="s">
        <v>72</v>
      </c>
      <c r="F181" s="21" t="s">
        <v>72</v>
      </c>
      <c r="G181" s="21" t="s">
        <v>72</v>
      </c>
      <c r="H181" s="21" t="s">
        <v>72</v>
      </c>
    </row>
    <row r="182" spans="1:8" ht="16" thickBot="1" x14ac:dyDescent="0.25">
      <c r="A182" s="13" t="s">
        <v>256</v>
      </c>
      <c r="B182" s="21" t="s">
        <v>72</v>
      </c>
      <c r="C182" s="21" t="s">
        <v>72</v>
      </c>
      <c r="D182" s="21" t="s">
        <v>72</v>
      </c>
      <c r="E182" s="21" t="s">
        <v>72</v>
      </c>
      <c r="F182" s="21" t="s">
        <v>72</v>
      </c>
      <c r="G182" s="21" t="s">
        <v>72</v>
      </c>
      <c r="H182" s="21" t="s">
        <v>72</v>
      </c>
    </row>
    <row r="183" spans="1:8" ht="16" thickBot="1" x14ac:dyDescent="0.25">
      <c r="A183" s="13" t="s">
        <v>257</v>
      </c>
      <c r="B183" s="21" t="s">
        <v>72</v>
      </c>
      <c r="C183" s="21" t="s">
        <v>72</v>
      </c>
      <c r="D183" s="21" t="s">
        <v>72</v>
      </c>
      <c r="E183" s="21" t="s">
        <v>72</v>
      </c>
      <c r="F183" s="21" t="s">
        <v>72</v>
      </c>
      <c r="G183" s="21" t="s">
        <v>72</v>
      </c>
      <c r="H183" s="21" t="s">
        <v>72</v>
      </c>
    </row>
    <row r="184" spans="1:8" ht="16" thickBot="1" x14ac:dyDescent="0.25">
      <c r="A184" s="13" t="s">
        <v>258</v>
      </c>
      <c r="B184" s="21" t="s">
        <v>72</v>
      </c>
      <c r="C184" s="21" t="s">
        <v>72</v>
      </c>
      <c r="D184" s="21" t="s">
        <v>72</v>
      </c>
      <c r="E184" s="21" t="s">
        <v>72</v>
      </c>
      <c r="F184" s="21" t="s">
        <v>72</v>
      </c>
      <c r="G184" s="21" t="s">
        <v>72</v>
      </c>
      <c r="H184" s="21" t="s">
        <v>72</v>
      </c>
    </row>
    <row r="185" spans="1:8" ht="16" thickBot="1" x14ac:dyDescent="0.25">
      <c r="A185" s="13" t="s">
        <v>259</v>
      </c>
      <c r="B185" s="21" t="s">
        <v>72</v>
      </c>
      <c r="C185" s="21" t="s">
        <v>72</v>
      </c>
      <c r="D185" s="21" t="s">
        <v>72</v>
      </c>
      <c r="E185" s="21" t="s">
        <v>72</v>
      </c>
      <c r="F185" s="21" t="s">
        <v>72</v>
      </c>
      <c r="G185" s="21" t="s">
        <v>72</v>
      </c>
      <c r="H185" s="21" t="s">
        <v>72</v>
      </c>
    </row>
    <row r="186" spans="1:8" ht="16" thickBot="1" x14ac:dyDescent="0.25">
      <c r="A186" s="13" t="s">
        <v>260</v>
      </c>
      <c r="B186" s="14" t="s">
        <v>72</v>
      </c>
      <c r="C186" s="14" t="s">
        <v>72</v>
      </c>
      <c r="D186" s="14" t="s">
        <v>72</v>
      </c>
      <c r="E186" s="14" t="s">
        <v>72</v>
      </c>
      <c r="F186" s="14" t="s">
        <v>72</v>
      </c>
      <c r="G186" s="14" t="s">
        <v>72</v>
      </c>
      <c r="H186" s="14" t="s">
        <v>72</v>
      </c>
    </row>
    <row r="187" spans="1:8" ht="16" thickBot="1" x14ac:dyDescent="0.25">
      <c r="A187" s="13" t="s">
        <v>261</v>
      </c>
      <c r="B187" s="14" t="s">
        <v>72</v>
      </c>
      <c r="C187" s="14" t="s">
        <v>72</v>
      </c>
      <c r="D187" s="14" t="s">
        <v>72</v>
      </c>
      <c r="E187" s="14" t="s">
        <v>72</v>
      </c>
      <c r="F187" s="14" t="s">
        <v>72</v>
      </c>
      <c r="G187" s="14" t="s">
        <v>72</v>
      </c>
      <c r="H187" s="14" t="s">
        <v>72</v>
      </c>
    </row>
    <row r="188" spans="1:8" ht="16" thickBot="1" x14ac:dyDescent="0.25">
      <c r="A188" s="13" t="s">
        <v>262</v>
      </c>
      <c r="B188" s="14" t="s">
        <v>72</v>
      </c>
      <c r="C188" s="14" t="s">
        <v>72</v>
      </c>
      <c r="D188" s="14" t="s">
        <v>72</v>
      </c>
      <c r="E188" s="14" t="s">
        <v>72</v>
      </c>
      <c r="F188" s="14" t="s">
        <v>72</v>
      </c>
      <c r="G188" s="14" t="s">
        <v>72</v>
      </c>
      <c r="H188" s="14" t="s">
        <v>72</v>
      </c>
    </row>
    <row r="189" spans="1:8" ht="16" thickBot="1" x14ac:dyDescent="0.25">
      <c r="A189" s="13" t="s">
        <v>263</v>
      </c>
      <c r="B189" s="14" t="s">
        <v>72</v>
      </c>
      <c r="C189" s="14" t="s">
        <v>72</v>
      </c>
      <c r="D189" s="14" t="s">
        <v>72</v>
      </c>
      <c r="E189" s="14" t="s">
        <v>72</v>
      </c>
      <c r="F189" s="14" t="s">
        <v>72</v>
      </c>
      <c r="G189" s="14" t="s">
        <v>72</v>
      </c>
      <c r="H189" s="14" t="s">
        <v>72</v>
      </c>
    </row>
    <row r="190" spans="1:8" ht="16" thickBot="1" x14ac:dyDescent="0.25">
      <c r="A190" s="13" t="s">
        <v>264</v>
      </c>
      <c r="B190" s="14" t="s">
        <v>72</v>
      </c>
      <c r="C190" s="14" t="s">
        <v>72</v>
      </c>
      <c r="D190" s="14" t="s">
        <v>72</v>
      </c>
      <c r="E190" s="14" t="s">
        <v>72</v>
      </c>
      <c r="F190" s="14" t="s">
        <v>72</v>
      </c>
      <c r="G190" s="14" t="s">
        <v>72</v>
      </c>
      <c r="H190" s="14" t="s">
        <v>72</v>
      </c>
    </row>
    <row r="191" spans="1:8" ht="16" thickBot="1" x14ac:dyDescent="0.25">
      <c r="A191" s="13" t="s">
        <v>265</v>
      </c>
      <c r="B191" s="14" t="s">
        <v>72</v>
      </c>
      <c r="C191" s="14" t="s">
        <v>72</v>
      </c>
      <c r="D191" s="14" t="s">
        <v>72</v>
      </c>
      <c r="E191" s="14" t="s">
        <v>72</v>
      </c>
      <c r="F191" s="14" t="s">
        <v>72</v>
      </c>
      <c r="G191" s="14" t="s">
        <v>72</v>
      </c>
      <c r="H191" s="14" t="s">
        <v>72</v>
      </c>
    </row>
    <row r="192" spans="1:8" ht="16" thickBot="1" x14ac:dyDescent="0.25">
      <c r="A192" s="13" t="s">
        <v>266</v>
      </c>
      <c r="B192" s="14" t="s">
        <v>72</v>
      </c>
      <c r="C192" s="14" t="s">
        <v>72</v>
      </c>
      <c r="D192" s="14" t="s">
        <v>72</v>
      </c>
      <c r="E192" s="14" t="s">
        <v>72</v>
      </c>
      <c r="F192" s="14" t="s">
        <v>72</v>
      </c>
      <c r="G192" s="14" t="s">
        <v>72</v>
      </c>
      <c r="H192" s="14" t="s">
        <v>72</v>
      </c>
    </row>
    <row r="193" spans="1:8" ht="16" thickBot="1" x14ac:dyDescent="0.25">
      <c r="A193" s="13" t="s">
        <v>267</v>
      </c>
      <c r="B193" s="14">
        <v>2460448</v>
      </c>
      <c r="C193" s="14">
        <v>1785852</v>
      </c>
      <c r="D193" s="14">
        <v>2309050</v>
      </c>
      <c r="E193" s="14">
        <v>2789697</v>
      </c>
      <c r="F193" s="14">
        <v>3133281</v>
      </c>
      <c r="G193" s="14">
        <v>5291572</v>
      </c>
      <c r="H193" s="14">
        <v>2842970</v>
      </c>
    </row>
    <row r="194" spans="1:8" ht="16" thickBot="1" x14ac:dyDescent="0.25">
      <c r="A194" s="13" t="s">
        <v>268</v>
      </c>
      <c r="B194" s="14" t="s">
        <v>72</v>
      </c>
      <c r="C194" s="14" t="s">
        <v>72</v>
      </c>
      <c r="D194" s="14" t="s">
        <v>72</v>
      </c>
      <c r="E194" s="14" t="s">
        <v>72</v>
      </c>
      <c r="F194" s="14" t="s">
        <v>72</v>
      </c>
      <c r="G194" s="14" t="s">
        <v>72</v>
      </c>
      <c r="H194" s="14" t="s">
        <v>72</v>
      </c>
    </row>
    <row r="195" spans="1:8" ht="16" thickBot="1" x14ac:dyDescent="0.25">
      <c r="A195" s="13" t="s">
        <v>269</v>
      </c>
      <c r="B195" s="14" t="s">
        <v>72</v>
      </c>
      <c r="C195" s="14" t="s">
        <v>72</v>
      </c>
      <c r="D195" s="14" t="s">
        <v>72</v>
      </c>
      <c r="E195" s="14" t="s">
        <v>72</v>
      </c>
      <c r="F195" s="14" t="s">
        <v>72</v>
      </c>
      <c r="G195" s="14" t="s">
        <v>72</v>
      </c>
      <c r="H195" s="14" t="s">
        <v>72</v>
      </c>
    </row>
    <row r="196" spans="1:8" ht="16" thickBot="1" x14ac:dyDescent="0.25">
      <c r="A196" s="13" t="s">
        <v>270</v>
      </c>
      <c r="B196" s="14" t="s">
        <v>72</v>
      </c>
      <c r="C196" s="14" t="s">
        <v>72</v>
      </c>
      <c r="D196" s="14" t="s">
        <v>72</v>
      </c>
      <c r="E196" s="14" t="s">
        <v>72</v>
      </c>
      <c r="F196" s="14" t="s">
        <v>72</v>
      </c>
      <c r="G196" s="14" t="s">
        <v>72</v>
      </c>
      <c r="H196" s="14" t="s">
        <v>72</v>
      </c>
    </row>
    <row r="197" spans="1:8" ht="16" thickBot="1" x14ac:dyDescent="0.25">
      <c r="A197" s="13" t="s">
        <v>271</v>
      </c>
      <c r="B197" s="14" t="s">
        <v>72</v>
      </c>
      <c r="C197" s="14" t="s">
        <v>72</v>
      </c>
      <c r="D197" s="14" t="s">
        <v>72</v>
      </c>
      <c r="E197" s="14" t="s">
        <v>72</v>
      </c>
      <c r="F197" s="14" t="s">
        <v>72</v>
      </c>
      <c r="G197" s="14" t="s">
        <v>72</v>
      </c>
      <c r="H197" s="14" t="s">
        <v>72</v>
      </c>
    </row>
    <row r="198" spans="1:8" ht="16" thickBot="1" x14ac:dyDescent="0.25">
      <c r="A198" s="13" t="s">
        <v>272</v>
      </c>
      <c r="B198" s="14" t="s">
        <v>72</v>
      </c>
      <c r="C198" s="14" t="s">
        <v>72</v>
      </c>
      <c r="D198" s="14" t="s">
        <v>72</v>
      </c>
      <c r="E198" s="14" t="s">
        <v>72</v>
      </c>
      <c r="F198" s="14" t="s">
        <v>72</v>
      </c>
      <c r="G198" s="14" t="s">
        <v>72</v>
      </c>
      <c r="H198" s="14" t="s">
        <v>72</v>
      </c>
    </row>
    <row r="199" spans="1:8" ht="16" thickBot="1" x14ac:dyDescent="0.25">
      <c r="A199" s="13" t="s">
        <v>273</v>
      </c>
      <c r="B199" s="14" t="s">
        <v>72</v>
      </c>
      <c r="C199" s="14" t="s">
        <v>72</v>
      </c>
      <c r="D199" s="14" t="s">
        <v>72</v>
      </c>
      <c r="E199" s="14" t="s">
        <v>72</v>
      </c>
      <c r="F199" s="14" t="s">
        <v>72</v>
      </c>
      <c r="G199" s="14" t="s">
        <v>72</v>
      </c>
      <c r="H199" s="14" t="s">
        <v>72</v>
      </c>
    </row>
    <row r="200" spans="1:8" ht="16" thickBot="1" x14ac:dyDescent="0.25">
      <c r="A200" s="13" t="s">
        <v>274</v>
      </c>
      <c r="B200" s="14" t="s">
        <v>72</v>
      </c>
      <c r="C200" s="14" t="s">
        <v>72</v>
      </c>
      <c r="D200" s="14" t="s">
        <v>72</v>
      </c>
      <c r="E200" s="14" t="s">
        <v>72</v>
      </c>
      <c r="F200" s="14" t="s">
        <v>72</v>
      </c>
      <c r="G200" s="14" t="s">
        <v>72</v>
      </c>
      <c r="H200" s="14" t="s">
        <v>72</v>
      </c>
    </row>
    <row r="201" spans="1:8" ht="16" thickBot="1" x14ac:dyDescent="0.25">
      <c r="A201" s="13" t="s">
        <v>275</v>
      </c>
      <c r="B201" s="14">
        <v>976817</v>
      </c>
      <c r="C201" s="14">
        <v>534926</v>
      </c>
      <c r="D201" s="14">
        <v>2019737</v>
      </c>
      <c r="E201" s="14">
        <v>2339380</v>
      </c>
      <c r="F201" s="14">
        <v>1007689</v>
      </c>
      <c r="G201" s="14">
        <v>3138762</v>
      </c>
      <c r="H201" s="14">
        <v>3539880</v>
      </c>
    </row>
    <row r="202" spans="1:8" ht="16" thickBot="1" x14ac:dyDescent="0.25">
      <c r="A202" s="13" t="s">
        <v>276</v>
      </c>
      <c r="B202" s="14">
        <v>514095</v>
      </c>
      <c r="C202" s="14">
        <v>755611</v>
      </c>
      <c r="D202" s="14">
        <v>1093346</v>
      </c>
      <c r="E202" s="14">
        <v>1231770</v>
      </c>
      <c r="F202" s="14">
        <v>1171807</v>
      </c>
      <c r="G202" s="14">
        <v>1506602</v>
      </c>
      <c r="H202" s="14">
        <v>1836089</v>
      </c>
    </row>
    <row r="203" spans="1:8" ht="16" thickBot="1" x14ac:dyDescent="0.25">
      <c r="A203" s="13" t="s">
        <v>277</v>
      </c>
      <c r="B203" s="14" t="s">
        <v>72</v>
      </c>
      <c r="C203" s="14" t="s">
        <v>72</v>
      </c>
      <c r="D203" s="14" t="s">
        <v>72</v>
      </c>
      <c r="E203" s="14" t="s">
        <v>72</v>
      </c>
      <c r="F203" s="14" t="s">
        <v>72</v>
      </c>
      <c r="G203" s="14" t="s">
        <v>72</v>
      </c>
      <c r="H203" s="14" t="s">
        <v>72</v>
      </c>
    </row>
    <row r="204" spans="1:8" ht="16" thickBot="1" x14ac:dyDescent="0.25">
      <c r="A204" s="13" t="s">
        <v>278</v>
      </c>
      <c r="B204" s="14" t="s">
        <v>72</v>
      </c>
      <c r="C204" s="14" t="s">
        <v>72</v>
      </c>
      <c r="D204" s="14" t="s">
        <v>72</v>
      </c>
      <c r="E204" s="14" t="s">
        <v>72</v>
      </c>
      <c r="F204" s="14" t="s">
        <v>72</v>
      </c>
      <c r="G204" s="14" t="s">
        <v>72</v>
      </c>
      <c r="H204" s="14" t="s">
        <v>72</v>
      </c>
    </row>
    <row r="205" spans="1:8" ht="16" thickBot="1" x14ac:dyDescent="0.25">
      <c r="A205" s="13" t="s">
        <v>279</v>
      </c>
      <c r="B205" s="14" t="s">
        <v>72</v>
      </c>
      <c r="C205" s="14" t="s">
        <v>72</v>
      </c>
      <c r="D205" s="14" t="s">
        <v>72</v>
      </c>
      <c r="E205" s="14" t="s">
        <v>72</v>
      </c>
      <c r="F205" s="14" t="s">
        <v>72</v>
      </c>
      <c r="G205" s="14" t="s">
        <v>72</v>
      </c>
      <c r="H205" s="14" t="s">
        <v>72</v>
      </c>
    </row>
    <row r="206" spans="1:8" ht="16" thickBot="1" x14ac:dyDescent="0.25">
      <c r="A206" s="13" t="s">
        <v>280</v>
      </c>
      <c r="B206" s="14" t="s">
        <v>72</v>
      </c>
      <c r="C206" s="14" t="s">
        <v>72</v>
      </c>
      <c r="D206" s="14" t="s">
        <v>72</v>
      </c>
      <c r="E206" s="14" t="s">
        <v>72</v>
      </c>
      <c r="F206" s="14" t="s">
        <v>72</v>
      </c>
      <c r="G206" s="14" t="s">
        <v>72</v>
      </c>
      <c r="H206" s="14" t="s">
        <v>72</v>
      </c>
    </row>
    <row r="207" spans="1:8" ht="16" thickBot="1" x14ac:dyDescent="0.25">
      <c r="A207" s="13" t="s">
        <v>281</v>
      </c>
      <c r="B207" s="14" t="s">
        <v>72</v>
      </c>
      <c r="C207" s="14" t="s">
        <v>72</v>
      </c>
      <c r="D207" s="14" t="s">
        <v>72</v>
      </c>
      <c r="E207" s="14" t="s">
        <v>72</v>
      </c>
      <c r="F207" s="14" t="s">
        <v>72</v>
      </c>
      <c r="G207" s="14" t="s">
        <v>72</v>
      </c>
      <c r="H207" s="14" t="s">
        <v>72</v>
      </c>
    </row>
    <row r="208" spans="1:8" ht="16" thickBot="1" x14ac:dyDescent="0.25">
      <c r="A208" s="13" t="s">
        <v>282</v>
      </c>
      <c r="B208" s="22" t="s">
        <v>72</v>
      </c>
      <c r="C208" s="22" t="s">
        <v>72</v>
      </c>
      <c r="D208" s="22" t="s">
        <v>72</v>
      </c>
      <c r="E208" s="22" t="s">
        <v>72</v>
      </c>
      <c r="F208" s="22" t="s">
        <v>72</v>
      </c>
      <c r="G208" s="22" t="s">
        <v>72</v>
      </c>
      <c r="H208" s="22" t="s">
        <v>72</v>
      </c>
    </row>
    <row r="209" spans="1:8" ht="16" thickBot="1" x14ac:dyDescent="0.25">
      <c r="A209" s="13" t="s">
        <v>283</v>
      </c>
      <c r="B209" s="21" t="s">
        <v>72</v>
      </c>
      <c r="C209" s="21" t="s">
        <v>72</v>
      </c>
      <c r="D209" s="21" t="s">
        <v>72</v>
      </c>
      <c r="E209" s="21" t="s">
        <v>72</v>
      </c>
      <c r="F209" s="21" t="s">
        <v>72</v>
      </c>
      <c r="G209" s="21" t="s">
        <v>72</v>
      </c>
      <c r="H209" s="21" t="s">
        <v>72</v>
      </c>
    </row>
    <row r="210" spans="1:8" ht="16" thickBot="1" x14ac:dyDescent="0.25">
      <c r="A210" s="13" t="s">
        <v>284</v>
      </c>
      <c r="B210" s="21" t="s">
        <v>72</v>
      </c>
      <c r="C210" s="21" t="s">
        <v>72</v>
      </c>
      <c r="D210" s="21" t="s">
        <v>72</v>
      </c>
      <c r="E210" s="21" t="s">
        <v>72</v>
      </c>
      <c r="F210" s="21" t="s">
        <v>72</v>
      </c>
      <c r="G210" s="21" t="s">
        <v>72</v>
      </c>
      <c r="H210" s="21" t="s">
        <v>72</v>
      </c>
    </row>
    <row r="211" spans="1:8" ht="16" thickBot="1" x14ac:dyDescent="0.25">
      <c r="A211" s="13" t="s">
        <v>285</v>
      </c>
      <c r="B211" s="14" t="s">
        <v>72</v>
      </c>
      <c r="C211" s="14" t="s">
        <v>72</v>
      </c>
      <c r="D211" s="14" t="s">
        <v>72</v>
      </c>
      <c r="E211" s="14" t="s">
        <v>72</v>
      </c>
      <c r="F211" s="14" t="s">
        <v>72</v>
      </c>
      <c r="G211" s="14" t="s">
        <v>72</v>
      </c>
      <c r="H211" s="14" t="s">
        <v>72</v>
      </c>
    </row>
    <row r="212" spans="1:8" ht="16" thickBot="1" x14ac:dyDescent="0.25">
      <c r="A212" s="13" t="s">
        <v>286</v>
      </c>
      <c r="B212" s="14" t="s">
        <v>72</v>
      </c>
      <c r="C212" s="14" t="s">
        <v>72</v>
      </c>
      <c r="D212" s="14" t="s">
        <v>72</v>
      </c>
      <c r="E212" s="14" t="s">
        <v>72</v>
      </c>
      <c r="F212" s="14" t="s">
        <v>72</v>
      </c>
      <c r="G212" s="14" t="s">
        <v>72</v>
      </c>
      <c r="H212" s="14" t="s">
        <v>72</v>
      </c>
    </row>
    <row r="213" spans="1:8" ht="16" thickBot="1" x14ac:dyDescent="0.25">
      <c r="A213" s="13" t="s">
        <v>287</v>
      </c>
      <c r="B213" s="14" t="s">
        <v>72</v>
      </c>
      <c r="C213" s="14" t="s">
        <v>72</v>
      </c>
      <c r="D213" s="14" t="s">
        <v>72</v>
      </c>
      <c r="E213" s="14" t="s">
        <v>72</v>
      </c>
      <c r="F213" s="14" t="s">
        <v>72</v>
      </c>
      <c r="G213" s="14" t="s">
        <v>72</v>
      </c>
      <c r="H213" s="14" t="s">
        <v>72</v>
      </c>
    </row>
    <row r="214" spans="1:8" x14ac:dyDescent="0.2">
      <c r="A214" s="13" t="s">
        <v>288</v>
      </c>
      <c r="B214" s="14" t="s">
        <v>72</v>
      </c>
      <c r="C214" s="14" t="s">
        <v>72</v>
      </c>
      <c r="D214" s="14" t="s">
        <v>72</v>
      </c>
      <c r="E214" s="14" t="s">
        <v>72</v>
      </c>
      <c r="F214" s="14" t="s">
        <v>72</v>
      </c>
      <c r="G214" s="14" t="s">
        <v>72</v>
      </c>
      <c r="H214" s="14" t="s">
        <v>72</v>
      </c>
    </row>
    <row r="215" spans="1:8" ht="12" customHeight="1" thickBot="1" x14ac:dyDescent="0.25">
      <c r="A215" s="12" t="s">
        <v>289</v>
      </c>
      <c r="B215" s="12"/>
      <c r="C215" s="12"/>
      <c r="D215" s="12"/>
      <c r="E215" s="12"/>
      <c r="F215" s="12"/>
      <c r="G215" s="12"/>
      <c r="H215" s="12"/>
    </row>
    <row r="216" spans="1:8" ht="16" thickBot="1" x14ac:dyDescent="0.25">
      <c r="A216" s="13" t="s">
        <v>290</v>
      </c>
      <c r="B216" s="14" t="s">
        <v>72</v>
      </c>
      <c r="C216" s="14" t="s">
        <v>72</v>
      </c>
      <c r="D216" s="14" t="s">
        <v>72</v>
      </c>
      <c r="E216" s="14" t="s">
        <v>72</v>
      </c>
      <c r="F216" s="14" t="s">
        <v>72</v>
      </c>
      <c r="G216" s="14" t="s">
        <v>72</v>
      </c>
      <c r="H216" s="14" t="s">
        <v>72</v>
      </c>
    </row>
    <row r="217" spans="1:8" ht="16" thickBot="1" x14ac:dyDescent="0.25">
      <c r="A217" s="13" t="s">
        <v>291</v>
      </c>
      <c r="B217" s="14" t="s">
        <v>72</v>
      </c>
      <c r="C217" s="14" t="s">
        <v>72</v>
      </c>
      <c r="D217" s="14" t="s">
        <v>72</v>
      </c>
      <c r="E217" s="14" t="s">
        <v>72</v>
      </c>
      <c r="F217" s="14" t="s">
        <v>72</v>
      </c>
      <c r="G217" s="14" t="s">
        <v>72</v>
      </c>
      <c r="H217" s="14" t="s">
        <v>72</v>
      </c>
    </row>
    <row r="218" spans="1:8" ht="16" thickBot="1" x14ac:dyDescent="0.25">
      <c r="A218" s="15" t="s">
        <v>292</v>
      </c>
      <c r="B218" s="16" t="s">
        <v>72</v>
      </c>
      <c r="C218" s="16" t="s">
        <v>72</v>
      </c>
      <c r="D218" s="16">
        <v>892397</v>
      </c>
      <c r="E218" s="16">
        <v>1195484</v>
      </c>
      <c r="F218" s="16">
        <v>1294343</v>
      </c>
      <c r="G218" s="16">
        <v>1674120</v>
      </c>
      <c r="H218" s="16">
        <v>2118562</v>
      </c>
    </row>
    <row r="219" spans="1:8" ht="16" thickBot="1" x14ac:dyDescent="0.25">
      <c r="A219" s="17" t="s">
        <v>293</v>
      </c>
      <c r="B219" s="18" t="s">
        <v>72</v>
      </c>
      <c r="C219" s="18" t="s">
        <v>72</v>
      </c>
      <c r="D219" s="18">
        <v>310228</v>
      </c>
      <c r="E219" s="18">
        <v>386394</v>
      </c>
      <c r="F219" s="18">
        <v>505874</v>
      </c>
      <c r="G219" s="18">
        <v>530184</v>
      </c>
      <c r="H219" s="18">
        <v>717558</v>
      </c>
    </row>
    <row r="220" spans="1:8" ht="16" thickBot="1" x14ac:dyDescent="0.25">
      <c r="A220" s="17" t="s">
        <v>294</v>
      </c>
      <c r="B220" s="18" t="s">
        <v>72</v>
      </c>
      <c r="C220" s="18" t="s">
        <v>72</v>
      </c>
      <c r="D220" s="18">
        <v>144213</v>
      </c>
      <c r="E220" s="18">
        <v>195884</v>
      </c>
      <c r="F220" s="18">
        <v>189301</v>
      </c>
      <c r="G220" s="18">
        <v>285984</v>
      </c>
      <c r="H220" s="18">
        <v>349596</v>
      </c>
    </row>
    <row r="221" spans="1:8" ht="16" thickBot="1" x14ac:dyDescent="0.25">
      <c r="A221" s="17" t="s">
        <v>295</v>
      </c>
      <c r="B221" s="18" t="s">
        <v>72</v>
      </c>
      <c r="C221" s="18" t="s">
        <v>72</v>
      </c>
      <c r="D221" s="18">
        <v>144213</v>
      </c>
      <c r="E221" s="18">
        <v>195884</v>
      </c>
      <c r="F221" s="18">
        <v>189301</v>
      </c>
      <c r="G221" s="18">
        <v>285984</v>
      </c>
      <c r="H221" s="18">
        <v>349596</v>
      </c>
    </row>
    <row r="222" spans="1:8" ht="16" thickBot="1" x14ac:dyDescent="0.25">
      <c r="A222" s="17" t="s">
        <v>296</v>
      </c>
      <c r="B222" s="18" t="s">
        <v>72</v>
      </c>
      <c r="C222" s="18" t="s">
        <v>72</v>
      </c>
      <c r="D222" s="18">
        <v>144213</v>
      </c>
      <c r="E222" s="18">
        <v>195884</v>
      </c>
      <c r="F222" s="18">
        <v>189301</v>
      </c>
      <c r="G222" s="18">
        <v>285984</v>
      </c>
      <c r="H222" s="18">
        <v>349596</v>
      </c>
    </row>
    <row r="223" spans="1:8" ht="16" thickBot="1" x14ac:dyDescent="0.25">
      <c r="A223" s="17" t="s">
        <v>297</v>
      </c>
      <c r="B223" s="18" t="s">
        <v>72</v>
      </c>
      <c r="C223" s="18" t="s">
        <v>72</v>
      </c>
      <c r="D223" s="18">
        <v>144213</v>
      </c>
      <c r="E223" s="18">
        <v>195884</v>
      </c>
      <c r="F223" s="18">
        <v>189301</v>
      </c>
      <c r="G223" s="18">
        <v>285984</v>
      </c>
      <c r="H223" s="18">
        <v>349596</v>
      </c>
    </row>
    <row r="224" spans="1:8" ht="16" thickBot="1" x14ac:dyDescent="0.25">
      <c r="A224" s="17" t="s">
        <v>298</v>
      </c>
      <c r="B224" s="18" t="s">
        <v>72</v>
      </c>
      <c r="C224" s="18" t="s">
        <v>72</v>
      </c>
      <c r="D224" s="18">
        <v>288426</v>
      </c>
      <c r="E224" s="18">
        <v>391768</v>
      </c>
      <c r="F224" s="18">
        <v>378601</v>
      </c>
      <c r="G224" s="18">
        <v>571968</v>
      </c>
      <c r="H224" s="18">
        <v>699192</v>
      </c>
    </row>
    <row r="225" spans="1:8" ht="16" thickBot="1" x14ac:dyDescent="0.25">
      <c r="A225" s="17" t="s">
        <v>299</v>
      </c>
      <c r="B225" s="18" t="s">
        <v>72</v>
      </c>
      <c r="C225" s="18" t="s">
        <v>72</v>
      </c>
      <c r="D225" s="18">
        <v>288426</v>
      </c>
      <c r="E225" s="18">
        <v>391768</v>
      </c>
      <c r="F225" s="18">
        <v>378601</v>
      </c>
      <c r="G225" s="18">
        <v>571968</v>
      </c>
      <c r="H225" s="18">
        <v>699192</v>
      </c>
    </row>
    <row r="226" spans="1:8" ht="16" thickBot="1" x14ac:dyDescent="0.25">
      <c r="A226" s="17" t="s">
        <v>300</v>
      </c>
      <c r="B226" s="18" t="s">
        <v>72</v>
      </c>
      <c r="C226" s="18" t="s">
        <v>72</v>
      </c>
      <c r="D226" s="18">
        <v>5318</v>
      </c>
      <c r="E226" s="18">
        <v>25552</v>
      </c>
      <c r="F226" s="18">
        <v>31266</v>
      </c>
      <c r="G226" s="18">
        <v>0</v>
      </c>
      <c r="H226" s="18">
        <v>2619</v>
      </c>
    </row>
    <row r="227" spans="1:8" ht="16" thickBot="1" x14ac:dyDescent="0.25">
      <c r="A227" s="13" t="s">
        <v>301</v>
      </c>
      <c r="B227" s="14" t="s">
        <v>72</v>
      </c>
      <c r="C227" s="14" t="s">
        <v>72</v>
      </c>
      <c r="D227" s="14" t="s">
        <v>72</v>
      </c>
      <c r="E227" s="14" t="s">
        <v>72</v>
      </c>
      <c r="F227" s="14" t="s">
        <v>72</v>
      </c>
      <c r="G227" s="14" t="s">
        <v>72</v>
      </c>
      <c r="H227" s="14" t="s">
        <v>72</v>
      </c>
    </row>
    <row r="228" spans="1:8" ht="16" thickBot="1" x14ac:dyDescent="0.25">
      <c r="A228" s="13" t="s">
        <v>302</v>
      </c>
      <c r="B228" s="14" t="s">
        <v>72</v>
      </c>
      <c r="C228" s="14" t="s">
        <v>72</v>
      </c>
      <c r="D228" s="14" t="s">
        <v>72</v>
      </c>
      <c r="E228" s="14" t="s">
        <v>72</v>
      </c>
      <c r="F228" s="14" t="s">
        <v>72</v>
      </c>
      <c r="G228" s="14" t="s">
        <v>72</v>
      </c>
      <c r="H228" s="14" t="s">
        <v>72</v>
      </c>
    </row>
    <row r="229" spans="1:8" ht="16" thickBot="1" x14ac:dyDescent="0.25">
      <c r="A229" s="13" t="s">
        <v>303</v>
      </c>
      <c r="B229" s="14" t="s">
        <v>72</v>
      </c>
      <c r="C229" s="14" t="s">
        <v>72</v>
      </c>
      <c r="D229" s="14" t="s">
        <v>72</v>
      </c>
      <c r="E229" s="14" t="s">
        <v>72</v>
      </c>
      <c r="F229" s="14" t="s">
        <v>72</v>
      </c>
      <c r="G229" s="14" t="s">
        <v>72</v>
      </c>
      <c r="H229" s="14" t="s">
        <v>72</v>
      </c>
    </row>
    <row r="230" spans="1:8" ht="16" thickBot="1" x14ac:dyDescent="0.25">
      <c r="A230" s="13" t="s">
        <v>304</v>
      </c>
      <c r="B230" s="14" t="s">
        <v>72</v>
      </c>
      <c r="C230" s="14" t="s">
        <v>72</v>
      </c>
      <c r="D230" s="14" t="s">
        <v>72</v>
      </c>
      <c r="E230" s="14" t="s">
        <v>72</v>
      </c>
      <c r="F230" s="14" t="s">
        <v>72</v>
      </c>
      <c r="G230" s="14" t="s">
        <v>72</v>
      </c>
      <c r="H230" s="14" t="s">
        <v>72</v>
      </c>
    </row>
    <row r="231" spans="1:8" ht="16" thickBot="1" x14ac:dyDescent="0.25">
      <c r="A231" s="13" t="s">
        <v>305</v>
      </c>
      <c r="B231" s="14" t="s">
        <v>72</v>
      </c>
      <c r="C231" s="14" t="s">
        <v>72</v>
      </c>
      <c r="D231" s="14" t="s">
        <v>72</v>
      </c>
      <c r="E231" s="14" t="s">
        <v>72</v>
      </c>
      <c r="F231" s="14" t="s">
        <v>72</v>
      </c>
      <c r="G231" s="14" t="s">
        <v>72</v>
      </c>
      <c r="H231" s="14" t="s">
        <v>72</v>
      </c>
    </row>
    <row r="232" spans="1:8" ht="16" thickBot="1" x14ac:dyDescent="0.25">
      <c r="A232" s="13" t="s">
        <v>306</v>
      </c>
      <c r="B232" s="14" t="s">
        <v>72</v>
      </c>
      <c r="C232" s="14" t="s">
        <v>72</v>
      </c>
      <c r="D232" s="14" t="s">
        <v>72</v>
      </c>
      <c r="E232" s="14" t="s">
        <v>72</v>
      </c>
      <c r="F232" s="14" t="s">
        <v>72</v>
      </c>
      <c r="G232" s="14" t="s">
        <v>72</v>
      </c>
      <c r="H232" s="14" t="s">
        <v>72</v>
      </c>
    </row>
    <row r="233" spans="1:8" x14ac:dyDescent="0.2">
      <c r="A233" s="13" t="s">
        <v>307</v>
      </c>
      <c r="B233" s="14" t="s">
        <v>72</v>
      </c>
      <c r="C233" s="14" t="s">
        <v>72</v>
      </c>
      <c r="D233" s="14" t="s">
        <v>72</v>
      </c>
      <c r="E233" s="14" t="s">
        <v>72</v>
      </c>
      <c r="F233" s="14" t="s">
        <v>72</v>
      </c>
      <c r="G233" s="14" t="s">
        <v>72</v>
      </c>
      <c r="H233" s="14" t="s">
        <v>72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5BA0-F68F-3242-BEEC-ADFF294C0B85}">
  <sheetPr codeName="Sheet3"/>
  <dimension ref="A1:P231"/>
  <sheetViews>
    <sheetView zoomScale="90" workbookViewId="0">
      <selection activeCell="I23" sqref="I23"/>
    </sheetView>
  </sheetViews>
  <sheetFormatPr baseColWidth="10" defaultColWidth="8.83203125" defaultRowHeight="15" x14ac:dyDescent="0.2"/>
  <cols>
    <col min="1" max="1" width="8.5" customWidth="1"/>
    <col min="2" max="2" width="27.6640625" customWidth="1"/>
    <col min="3" max="4" width="28.5" hidden="1" customWidth="1"/>
    <col min="5" max="15" width="28.5" bestFit="1" customWidth="1"/>
  </cols>
  <sheetData>
    <row r="1" spans="1:15" x14ac:dyDescent="0.2">
      <c r="A1" s="1" t="s">
        <v>308</v>
      </c>
    </row>
    <row r="3" spans="1:15" x14ac:dyDescent="0.2">
      <c r="A3" s="2" t="s">
        <v>309</v>
      </c>
    </row>
    <row r="4" spans="1:15" ht="16" thickBot="1" x14ac:dyDescent="0.25">
      <c r="A4" s="2" t="s">
        <v>2</v>
      </c>
    </row>
    <row r="5" spans="1:15" ht="27" thickBot="1" x14ac:dyDescent="0.35">
      <c r="A5" s="419"/>
      <c r="B5" s="420"/>
      <c r="C5" s="45">
        <v>2016</v>
      </c>
      <c r="D5" s="45">
        <v>2017</v>
      </c>
      <c r="E5" s="45">
        <v>2018</v>
      </c>
      <c r="F5" s="45">
        <v>2019</v>
      </c>
      <c r="G5" s="45">
        <v>2020</v>
      </c>
      <c r="H5" s="45">
        <v>2021</v>
      </c>
      <c r="I5" s="45">
        <v>2022</v>
      </c>
      <c r="J5" s="46" t="s">
        <v>579</v>
      </c>
      <c r="K5" s="46" t="s">
        <v>580</v>
      </c>
      <c r="L5" s="46" t="s">
        <v>581</v>
      </c>
      <c r="M5" s="46" t="s">
        <v>582</v>
      </c>
      <c r="N5" s="46" t="s">
        <v>583</v>
      </c>
      <c r="O5" s="46" t="s">
        <v>584</v>
      </c>
    </row>
    <row r="6" spans="1:15" ht="14.25" customHeight="1" thickBot="1" x14ac:dyDescent="0.25">
      <c r="A6" s="421" t="s">
        <v>3</v>
      </c>
      <c r="B6" s="422"/>
      <c r="C6" s="6" t="s">
        <v>4</v>
      </c>
      <c r="D6" s="6" t="s">
        <v>4</v>
      </c>
      <c r="E6" s="7" t="s">
        <v>5</v>
      </c>
      <c r="F6" s="8" t="s">
        <v>7</v>
      </c>
      <c r="G6" s="9" t="s">
        <v>8</v>
      </c>
      <c r="H6" s="7" t="s">
        <v>9</v>
      </c>
      <c r="I6" s="8" t="s">
        <v>10</v>
      </c>
      <c r="J6" s="42"/>
      <c r="K6" s="43"/>
      <c r="L6" s="44"/>
      <c r="M6" s="44"/>
      <c r="N6" s="42"/>
      <c r="O6" s="44"/>
    </row>
    <row r="7" spans="1:15" ht="16" hidden="1" thickBot="1" x14ac:dyDescent="0.25">
      <c r="A7" s="423" t="s">
        <v>11</v>
      </c>
      <c r="B7" s="424"/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18</v>
      </c>
      <c r="J7" s="11" t="s">
        <v>14</v>
      </c>
      <c r="K7" s="11" t="s">
        <v>15</v>
      </c>
      <c r="L7" s="11" t="s">
        <v>15</v>
      </c>
      <c r="M7" s="11" t="s">
        <v>16</v>
      </c>
      <c r="N7" s="11" t="s">
        <v>17</v>
      </c>
      <c r="O7" s="11" t="s">
        <v>18</v>
      </c>
    </row>
    <row r="8" spans="1:15" ht="16" hidden="1" thickBot="1" x14ac:dyDescent="0.25">
      <c r="A8" s="417" t="s">
        <v>19</v>
      </c>
      <c r="B8" s="418"/>
      <c r="C8" s="11" t="s">
        <v>20</v>
      </c>
      <c r="D8" s="11" t="s">
        <v>20</v>
      </c>
      <c r="E8" s="11" t="s">
        <v>20</v>
      </c>
      <c r="F8" s="11" t="s">
        <v>20</v>
      </c>
      <c r="G8" s="11" t="s">
        <v>20</v>
      </c>
      <c r="H8" s="11" t="s">
        <v>20</v>
      </c>
      <c r="I8" s="11" t="s">
        <v>20</v>
      </c>
      <c r="J8" s="11" t="s">
        <v>22</v>
      </c>
      <c r="K8" s="11" t="s">
        <v>22</v>
      </c>
      <c r="L8" s="11" t="s">
        <v>23</v>
      </c>
      <c r="M8" s="11" t="s">
        <v>22</v>
      </c>
      <c r="N8" s="11" t="s">
        <v>22</v>
      </c>
      <c r="O8" s="11" t="s">
        <v>22</v>
      </c>
    </row>
    <row r="9" spans="1:15" ht="16" hidden="1" thickBot="1" x14ac:dyDescent="0.25">
      <c r="A9" s="417" t="s">
        <v>21</v>
      </c>
      <c r="B9" s="418"/>
      <c r="C9" s="11" t="s">
        <v>22</v>
      </c>
      <c r="D9" s="11" t="s">
        <v>22</v>
      </c>
      <c r="E9" s="11" t="s">
        <v>22</v>
      </c>
      <c r="F9" s="11" t="s">
        <v>22</v>
      </c>
      <c r="G9" s="11" t="s">
        <v>22</v>
      </c>
      <c r="H9" s="11" t="s">
        <v>22</v>
      </c>
      <c r="I9" s="11" t="s">
        <v>22</v>
      </c>
      <c r="J9" s="11" t="s">
        <v>14</v>
      </c>
      <c r="K9" s="11" t="s">
        <v>15</v>
      </c>
      <c r="L9" s="11" t="s">
        <v>16</v>
      </c>
      <c r="M9" s="11" t="s">
        <v>16</v>
      </c>
      <c r="N9" s="11" t="s">
        <v>17</v>
      </c>
      <c r="O9" s="11" t="s">
        <v>18</v>
      </c>
    </row>
    <row r="10" spans="1:15" ht="16" hidden="1" thickBot="1" x14ac:dyDescent="0.25">
      <c r="A10" s="417" t="s">
        <v>24</v>
      </c>
      <c r="B10" s="418"/>
      <c r="C10" s="11" t="s">
        <v>13</v>
      </c>
      <c r="D10" s="11" t="s">
        <v>13</v>
      </c>
      <c r="E10" s="11" t="s">
        <v>14</v>
      </c>
      <c r="F10" s="11" t="s">
        <v>15</v>
      </c>
      <c r="G10" s="11" t="s">
        <v>16</v>
      </c>
      <c r="H10" s="11" t="s">
        <v>17</v>
      </c>
      <c r="I10" s="11" t="s">
        <v>18</v>
      </c>
      <c r="J10" s="11" t="s">
        <v>26</v>
      </c>
      <c r="K10" s="11" t="s">
        <v>26</v>
      </c>
      <c r="L10" s="11" t="s">
        <v>26</v>
      </c>
      <c r="M10" s="11" t="s">
        <v>26</v>
      </c>
      <c r="N10" s="11" t="s">
        <v>26</v>
      </c>
      <c r="O10" s="11" t="s">
        <v>26</v>
      </c>
    </row>
    <row r="11" spans="1:15" ht="16" hidden="1" thickBot="1" x14ac:dyDescent="0.25">
      <c r="A11" s="417" t="s">
        <v>25</v>
      </c>
      <c r="B11" s="418"/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30</v>
      </c>
      <c r="K11" s="11" t="s">
        <v>31</v>
      </c>
      <c r="L11" s="11" t="s">
        <v>31</v>
      </c>
      <c r="M11" s="11" t="s">
        <v>31</v>
      </c>
      <c r="N11" s="11" t="s">
        <v>31</v>
      </c>
      <c r="O11" s="11" t="s">
        <v>32</v>
      </c>
    </row>
    <row r="12" spans="1:15" ht="16" hidden="1" thickBot="1" x14ac:dyDescent="0.25">
      <c r="A12" s="417" t="s">
        <v>27</v>
      </c>
      <c r="B12" s="418"/>
      <c r="C12" s="11" t="s">
        <v>31</v>
      </c>
      <c r="D12" s="11" t="s">
        <v>31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32</v>
      </c>
      <c r="J12" s="11" t="s">
        <v>34</v>
      </c>
      <c r="K12" s="11" t="s">
        <v>34</v>
      </c>
      <c r="L12" s="11" t="s">
        <v>34</v>
      </c>
      <c r="M12" s="11" t="s">
        <v>34</v>
      </c>
      <c r="N12" s="11" t="s">
        <v>34</v>
      </c>
      <c r="O12" s="11" t="s">
        <v>34</v>
      </c>
    </row>
    <row r="13" spans="1:15" ht="16" hidden="1" thickBot="1" x14ac:dyDescent="0.25">
      <c r="A13" s="417" t="s">
        <v>33</v>
      </c>
      <c r="B13" s="418"/>
      <c r="C13" s="11" t="s">
        <v>34</v>
      </c>
      <c r="D13" s="11" t="s">
        <v>34</v>
      </c>
      <c r="E13" s="11" t="s">
        <v>34</v>
      </c>
      <c r="F13" s="11" t="s">
        <v>34</v>
      </c>
      <c r="G13" s="11" t="s">
        <v>34</v>
      </c>
      <c r="H13" s="11" t="s">
        <v>34</v>
      </c>
      <c r="I13" s="11" t="s">
        <v>34</v>
      </c>
      <c r="J13" s="11" t="s">
        <v>36</v>
      </c>
      <c r="K13" s="11" t="s">
        <v>36</v>
      </c>
      <c r="L13" s="11" t="s">
        <v>36</v>
      </c>
      <c r="M13" s="11" t="s">
        <v>36</v>
      </c>
      <c r="N13" s="11" t="s">
        <v>36</v>
      </c>
      <c r="O13" s="11" t="s">
        <v>36</v>
      </c>
    </row>
    <row r="14" spans="1:15" ht="16" hidden="1" thickBot="1" x14ac:dyDescent="0.25">
      <c r="A14" s="417" t="s">
        <v>35</v>
      </c>
      <c r="B14" s="418"/>
      <c r="C14" s="11" t="s">
        <v>36</v>
      </c>
      <c r="D14" s="11" t="s">
        <v>36</v>
      </c>
      <c r="E14" s="11" t="s">
        <v>36</v>
      </c>
      <c r="F14" s="11" t="s">
        <v>36</v>
      </c>
      <c r="G14" s="11" t="s">
        <v>36</v>
      </c>
      <c r="H14" s="11" t="s">
        <v>36</v>
      </c>
      <c r="I14" s="11" t="s">
        <v>36</v>
      </c>
      <c r="J14" s="11" t="s">
        <v>39</v>
      </c>
      <c r="K14" s="11" t="s">
        <v>40</v>
      </c>
      <c r="L14" s="11" t="s">
        <v>41</v>
      </c>
      <c r="M14" s="11" t="s">
        <v>41</v>
      </c>
      <c r="N14" s="11" t="s">
        <v>42</v>
      </c>
      <c r="O14" s="11" t="s">
        <v>43</v>
      </c>
    </row>
    <row r="15" spans="1:15" ht="16" hidden="1" thickBot="1" x14ac:dyDescent="0.25">
      <c r="A15" s="417" t="s">
        <v>37</v>
      </c>
      <c r="B15" s="418"/>
      <c r="C15" s="11" t="s">
        <v>38</v>
      </c>
      <c r="D15" s="11" t="s">
        <v>38</v>
      </c>
      <c r="E15" s="11" t="s">
        <v>39</v>
      </c>
      <c r="F15" s="11" t="s">
        <v>40</v>
      </c>
      <c r="G15" s="11" t="s">
        <v>41</v>
      </c>
      <c r="H15" s="11" t="s">
        <v>42</v>
      </c>
      <c r="I15" s="11" t="s">
        <v>43</v>
      </c>
      <c r="J15" s="11" t="s">
        <v>47</v>
      </c>
      <c r="K15" s="11" t="s">
        <v>48</v>
      </c>
      <c r="L15" s="11" t="s">
        <v>49</v>
      </c>
      <c r="M15" s="11" t="s">
        <v>49</v>
      </c>
      <c r="N15" s="11" t="s">
        <v>50</v>
      </c>
      <c r="O15" s="11" t="s">
        <v>51</v>
      </c>
    </row>
    <row r="16" spans="1:15" ht="16" hidden="1" thickBot="1" x14ac:dyDescent="0.25">
      <c r="A16" s="417" t="s">
        <v>44</v>
      </c>
      <c r="B16" s="418"/>
      <c r="C16" s="11" t="s">
        <v>45</v>
      </c>
      <c r="D16" s="11" t="s">
        <v>46</v>
      </c>
      <c r="E16" s="11" t="s">
        <v>47</v>
      </c>
      <c r="F16" s="11" t="s">
        <v>48</v>
      </c>
      <c r="G16" s="11" t="s">
        <v>49</v>
      </c>
      <c r="H16" s="11" t="s">
        <v>50</v>
      </c>
      <c r="I16" s="11" t="s">
        <v>51</v>
      </c>
      <c r="J16" s="11" t="s">
        <v>53</v>
      </c>
      <c r="K16" s="11" t="s">
        <v>53</v>
      </c>
      <c r="L16" s="11" t="s">
        <v>53</v>
      </c>
      <c r="M16" s="11" t="s">
        <v>53</v>
      </c>
      <c r="N16" s="11" t="s">
        <v>53</v>
      </c>
      <c r="O16" s="11" t="s">
        <v>53</v>
      </c>
    </row>
    <row r="17" spans="1:16" ht="16" hidden="1" thickBot="1" x14ac:dyDescent="0.25">
      <c r="A17" s="417" t="s">
        <v>52</v>
      </c>
      <c r="B17" s="418"/>
      <c r="C17" s="11" t="s">
        <v>53</v>
      </c>
      <c r="D17" s="11" t="s">
        <v>53</v>
      </c>
      <c r="E17" s="11" t="s">
        <v>53</v>
      </c>
      <c r="F17" s="11" t="s">
        <v>53</v>
      </c>
      <c r="G17" s="11" t="s">
        <v>53</v>
      </c>
      <c r="H17" s="11" t="s">
        <v>53</v>
      </c>
      <c r="I17" s="11" t="s">
        <v>53</v>
      </c>
      <c r="J17" s="11" t="s">
        <v>55</v>
      </c>
      <c r="K17" s="11" t="s">
        <v>55</v>
      </c>
      <c r="L17" s="11" t="s">
        <v>55</v>
      </c>
      <c r="M17" s="11" t="s">
        <v>55</v>
      </c>
      <c r="N17" s="11" t="s">
        <v>55</v>
      </c>
      <c r="O17" s="11" t="s">
        <v>55</v>
      </c>
    </row>
    <row r="18" spans="1:16" ht="16" hidden="1" thickBot="1" x14ac:dyDescent="0.25">
      <c r="A18" s="417" t="s">
        <v>54</v>
      </c>
      <c r="B18" s="418"/>
      <c r="C18" s="11" t="s">
        <v>55</v>
      </c>
      <c r="D18" s="11" t="s">
        <v>55</v>
      </c>
      <c r="E18" s="11" t="s">
        <v>55</v>
      </c>
      <c r="F18" s="11" t="s">
        <v>55</v>
      </c>
      <c r="G18" s="11" t="s">
        <v>55</v>
      </c>
      <c r="H18" s="11" t="s">
        <v>55</v>
      </c>
      <c r="I18" s="11" t="s">
        <v>55</v>
      </c>
      <c r="J18" s="11" t="s">
        <v>57</v>
      </c>
      <c r="K18" s="11" t="s">
        <v>57</v>
      </c>
      <c r="L18" s="11" t="s">
        <v>57</v>
      </c>
      <c r="M18" s="11" t="s">
        <v>57</v>
      </c>
      <c r="N18" s="11" t="s">
        <v>57</v>
      </c>
      <c r="O18" s="11" t="s">
        <v>57</v>
      </c>
    </row>
    <row r="19" spans="1:16" ht="16" hidden="1" thickBot="1" x14ac:dyDescent="0.25">
      <c r="A19" s="417" t="s">
        <v>56</v>
      </c>
      <c r="B19" s="418"/>
      <c r="C19" s="11" t="s">
        <v>57</v>
      </c>
      <c r="D19" s="11" t="s">
        <v>57</v>
      </c>
      <c r="E19" s="11" t="s">
        <v>57</v>
      </c>
      <c r="F19" s="11" t="s">
        <v>57</v>
      </c>
      <c r="G19" s="11" t="s">
        <v>57</v>
      </c>
      <c r="H19" s="11" t="s">
        <v>57</v>
      </c>
      <c r="I19" s="11" t="s">
        <v>57</v>
      </c>
      <c r="J19" s="11" t="s">
        <v>59</v>
      </c>
      <c r="K19" s="11" t="s">
        <v>60</v>
      </c>
      <c r="L19" s="11" t="s">
        <v>60</v>
      </c>
      <c r="M19" s="11" t="s">
        <v>60</v>
      </c>
      <c r="N19" s="11" t="s">
        <v>61</v>
      </c>
      <c r="O19" s="11" t="s">
        <v>61</v>
      </c>
    </row>
    <row r="20" spans="1:16" ht="16" hidden="1" thickBot="1" x14ac:dyDescent="0.25">
      <c r="A20" s="417" t="s">
        <v>58</v>
      </c>
      <c r="B20" s="418"/>
      <c r="C20" s="11" t="s">
        <v>59</v>
      </c>
      <c r="D20" s="11" t="s">
        <v>59</v>
      </c>
      <c r="E20" s="11" t="s">
        <v>59</v>
      </c>
      <c r="F20" s="11" t="s">
        <v>60</v>
      </c>
      <c r="G20" s="11" t="s">
        <v>60</v>
      </c>
      <c r="H20" s="11" t="s">
        <v>61</v>
      </c>
      <c r="I20" s="11" t="s">
        <v>61</v>
      </c>
      <c r="J20" s="11" t="s">
        <v>63</v>
      </c>
      <c r="K20" s="11" t="s">
        <v>64</v>
      </c>
      <c r="L20" s="11" t="s">
        <v>64</v>
      </c>
      <c r="M20" s="11" t="s">
        <v>64</v>
      </c>
      <c r="N20" s="11" t="s">
        <v>64</v>
      </c>
      <c r="O20" s="11" t="s">
        <v>64</v>
      </c>
    </row>
    <row r="21" spans="1:16" ht="16" hidden="1" thickBot="1" x14ac:dyDescent="0.25">
      <c r="A21" s="417" t="s">
        <v>62</v>
      </c>
      <c r="B21" s="418"/>
      <c r="C21" s="11" t="s">
        <v>63</v>
      </c>
      <c r="D21" s="11" t="s">
        <v>63</v>
      </c>
      <c r="E21" s="11" t="s">
        <v>63</v>
      </c>
      <c r="F21" s="11" t="s">
        <v>64</v>
      </c>
      <c r="G21" s="11" t="s">
        <v>64</v>
      </c>
      <c r="H21" s="11" t="s">
        <v>64</v>
      </c>
      <c r="I21" s="11" t="s">
        <v>64</v>
      </c>
      <c r="J21" s="11" t="s">
        <v>66</v>
      </c>
      <c r="K21" s="11" t="s">
        <v>66</v>
      </c>
      <c r="L21" s="11" t="s">
        <v>66</v>
      </c>
      <c r="M21" s="11" t="s">
        <v>66</v>
      </c>
      <c r="N21" s="11" t="s">
        <v>66</v>
      </c>
      <c r="O21" s="11" t="s">
        <v>66</v>
      </c>
    </row>
    <row r="22" spans="1:16" ht="16" hidden="1" thickBot="1" x14ac:dyDescent="0.25">
      <c r="A22" s="417" t="s">
        <v>65</v>
      </c>
      <c r="B22" s="418"/>
      <c r="C22" s="11" t="s">
        <v>66</v>
      </c>
      <c r="D22" s="11" t="s">
        <v>66</v>
      </c>
      <c r="E22" s="11" t="s">
        <v>66</v>
      </c>
      <c r="F22" s="11" t="s">
        <v>66</v>
      </c>
      <c r="G22" s="11" t="s">
        <v>66</v>
      </c>
      <c r="H22" s="11" t="s">
        <v>66</v>
      </c>
      <c r="I22" s="11" t="s">
        <v>66</v>
      </c>
      <c r="J22" s="12"/>
      <c r="K22" s="12"/>
      <c r="L22" s="12"/>
      <c r="M22" s="12"/>
      <c r="N22" s="12"/>
      <c r="O22" s="12"/>
    </row>
    <row r="23" spans="1:16" s="55" customFormat="1" ht="16" thickBot="1" x14ac:dyDescent="0.25">
      <c r="A23" s="411" t="s">
        <v>310</v>
      </c>
      <c r="B23" s="412"/>
      <c r="C23" s="54">
        <v>10853155</v>
      </c>
      <c r="D23" s="54">
        <v>13146515</v>
      </c>
      <c r="E23" s="54">
        <v>15298335</v>
      </c>
      <c r="F23" s="54">
        <v>16633960</v>
      </c>
      <c r="G23" s="54">
        <v>14661417</v>
      </c>
      <c r="H23" s="54">
        <v>22494961</v>
      </c>
      <c r="I23" s="54">
        <v>30165801</v>
      </c>
      <c r="J23" s="54">
        <f>'Revenue breakdown'!G3</f>
        <v>38384189.300646394</v>
      </c>
      <c r="K23" s="54">
        <f>'Revenue breakdown'!H3</f>
        <v>41212985.466320142</v>
      </c>
      <c r="L23" s="54">
        <f>'Revenue breakdown'!I3</f>
        <v>44442665.924639285</v>
      </c>
      <c r="M23" s="54">
        <f>'Revenue breakdown'!J3</f>
        <v>48159574.816463418</v>
      </c>
      <c r="N23" s="54">
        <f>'Revenue breakdown'!K3</f>
        <v>51416923.319323778</v>
      </c>
      <c r="O23" s="54">
        <f>'Revenue breakdown'!L3</f>
        <v>55845116.590505674</v>
      </c>
      <c r="P23" s="54"/>
    </row>
    <row r="24" spans="1:16" ht="16" thickBot="1" x14ac:dyDescent="0.25">
      <c r="A24" s="409" t="s">
        <v>311</v>
      </c>
      <c r="B24" s="410"/>
      <c r="C24" s="18">
        <v>11722218</v>
      </c>
      <c r="D24" s="18">
        <v>13795036</v>
      </c>
      <c r="E24" s="18">
        <v>15889646</v>
      </c>
      <c r="F24" s="18">
        <v>16988957</v>
      </c>
      <c r="G24" s="18">
        <v>14799953</v>
      </c>
      <c r="H24" s="18">
        <v>22619505</v>
      </c>
      <c r="I24" s="18">
        <v>30276711</v>
      </c>
      <c r="J24" s="16"/>
      <c r="K24" s="16"/>
      <c r="L24" s="16"/>
      <c r="M24" s="16"/>
      <c r="N24" s="16"/>
      <c r="O24" s="16"/>
    </row>
    <row r="25" spans="1:16" ht="16" thickBot="1" x14ac:dyDescent="0.25">
      <c r="A25" s="409" t="s">
        <v>312</v>
      </c>
      <c r="B25" s="410"/>
      <c r="C25" s="18">
        <v>-869062</v>
      </c>
      <c r="D25" s="18">
        <v>-648521</v>
      </c>
      <c r="E25" s="18">
        <v>-591311</v>
      </c>
      <c r="F25" s="18">
        <v>-354997</v>
      </c>
      <c r="G25" s="18">
        <v>-138536</v>
      </c>
      <c r="H25" s="18">
        <v>-124544</v>
      </c>
      <c r="I25" s="18">
        <v>-110910</v>
      </c>
      <c r="J25" s="18"/>
      <c r="K25" s="18"/>
      <c r="L25" s="18"/>
      <c r="M25" s="18"/>
      <c r="N25" s="18"/>
      <c r="O25" s="18"/>
    </row>
    <row r="26" spans="1:16" ht="16" thickBot="1" x14ac:dyDescent="0.25">
      <c r="A26" s="402" t="s">
        <v>313</v>
      </c>
      <c r="B26" s="403"/>
      <c r="C26" s="14" t="s">
        <v>72</v>
      </c>
      <c r="D26" s="14" t="s">
        <v>72</v>
      </c>
      <c r="E26" s="14" t="s">
        <v>72</v>
      </c>
      <c r="F26" s="14" t="s">
        <v>72</v>
      </c>
      <c r="G26" s="14" t="s">
        <v>72</v>
      </c>
      <c r="H26" s="14" t="s">
        <v>72</v>
      </c>
      <c r="I26" s="14" t="s">
        <v>72</v>
      </c>
      <c r="J26" s="16"/>
      <c r="K26" s="16"/>
      <c r="L26" s="16"/>
      <c r="M26" s="16"/>
      <c r="N26" s="16"/>
      <c r="O26" s="16"/>
    </row>
    <row r="27" spans="1:16" ht="16" thickBot="1" x14ac:dyDescent="0.25">
      <c r="A27" s="402" t="s">
        <v>314</v>
      </c>
      <c r="B27" s="403"/>
      <c r="C27" s="14">
        <v>10853155</v>
      </c>
      <c r="D27" s="14">
        <v>13146515</v>
      </c>
      <c r="E27" s="14">
        <v>15298335</v>
      </c>
      <c r="F27" s="14">
        <v>16633960</v>
      </c>
      <c r="G27" s="14">
        <v>14661417</v>
      </c>
      <c r="H27" s="14">
        <v>22494961</v>
      </c>
      <c r="I27" s="14">
        <v>30165801</v>
      </c>
      <c r="J27" s="18">
        <f>'Revenue breakdown'!G3</f>
        <v>38384189.300646394</v>
      </c>
      <c r="K27" s="18">
        <f>'Revenue breakdown'!H3</f>
        <v>41212985.466320142</v>
      </c>
      <c r="L27" s="18">
        <f>'Revenue breakdown'!I3</f>
        <v>44442665.924639285</v>
      </c>
      <c r="M27" s="18">
        <f>'Revenue breakdown'!J3</f>
        <v>48159574.816463418</v>
      </c>
      <c r="N27" s="18">
        <f>'Revenue breakdown'!K3</f>
        <v>51416923.319323778</v>
      </c>
      <c r="O27" s="18">
        <f>'Revenue breakdown'!L3</f>
        <v>55845116.590505674</v>
      </c>
    </row>
    <row r="28" spans="1:16" ht="16" thickBot="1" x14ac:dyDescent="0.25">
      <c r="A28" s="407" t="s">
        <v>315</v>
      </c>
      <c r="B28" s="408"/>
      <c r="C28" s="16">
        <v>9442776</v>
      </c>
      <c r="D28" s="16">
        <v>11330255</v>
      </c>
      <c r="E28" s="16">
        <v>13254725</v>
      </c>
      <c r="F28" s="16">
        <v>14522903</v>
      </c>
      <c r="G28" s="16">
        <v>12620415</v>
      </c>
      <c r="H28" s="16">
        <v>19343448</v>
      </c>
      <c r="I28" s="16">
        <v>25462623</v>
      </c>
      <c r="J28" s="14"/>
      <c r="K28" s="14"/>
      <c r="L28" s="14"/>
      <c r="M28" s="14"/>
      <c r="N28" s="14"/>
      <c r="O28" s="14"/>
    </row>
    <row r="29" spans="1:16" s="55" customFormat="1" ht="16" thickBot="1" x14ac:dyDescent="0.25">
      <c r="A29" s="414" t="s">
        <v>594</v>
      </c>
      <c r="B29" s="415"/>
      <c r="C29" s="54">
        <v>9442776</v>
      </c>
      <c r="D29" s="54">
        <v>11330255</v>
      </c>
      <c r="E29" s="54">
        <v>13254725</v>
      </c>
      <c r="F29" s="54">
        <v>14522903</v>
      </c>
      <c r="G29" s="54">
        <v>12620415</v>
      </c>
      <c r="H29" s="54">
        <v>19343448</v>
      </c>
      <c r="I29" s="54">
        <v>25462623</v>
      </c>
      <c r="J29" s="54">
        <f>J30*'Revenue breakdown'!G3</f>
        <v>32399674.761594854</v>
      </c>
      <c r="K29" s="54">
        <f>K30*'Revenue breakdown'!H3</f>
        <v>35294454.546744555</v>
      </c>
      <c r="L29" s="54">
        <f>L30*'Revenue breakdown'!I3</f>
        <v>37911923.455914542</v>
      </c>
      <c r="M29" s="54">
        <f>M30*'Revenue breakdown'!J3</f>
        <v>41008104.683829993</v>
      </c>
      <c r="N29" s="54">
        <f>N30*'Revenue breakdown'!K3</f>
        <v>43695406.062559783</v>
      </c>
      <c r="O29" s="54">
        <f>O30*'Revenue breakdown'!L3</f>
        <v>47522665.937645428</v>
      </c>
    </row>
    <row r="30" spans="1:16" s="55" customFormat="1" ht="16" thickBot="1" x14ac:dyDescent="0.25">
      <c r="A30" s="64"/>
      <c r="B30" s="65" t="s">
        <v>700</v>
      </c>
      <c r="C30" s="54"/>
      <c r="D30" s="54"/>
      <c r="E30" s="113">
        <f>E29/E27</f>
        <v>0.86641618189168956</v>
      </c>
      <c r="F30" s="113">
        <f>F29/F27</f>
        <v>0.87308752696291203</v>
      </c>
      <c r="G30" s="113">
        <f>G29/G27</f>
        <v>0.86079094537724421</v>
      </c>
      <c r="H30" s="113">
        <f>H29/H27</f>
        <v>0.85990137969121172</v>
      </c>
      <c r="I30" s="113">
        <f>I29/I27</f>
        <v>0.84408907292068924</v>
      </c>
      <c r="J30" s="113">
        <f>I30</f>
        <v>0.84408907292068924</v>
      </c>
      <c r="K30" s="113">
        <f>AVERAGE(F30:J30)</f>
        <v>0.85639159957454924</v>
      </c>
      <c r="L30" s="113">
        <f t="shared" ref="L30:O30" si="0">AVERAGE(G30:K30)</f>
        <v>0.85305241409687671</v>
      </c>
      <c r="M30" s="113">
        <f t="shared" si="0"/>
        <v>0.85150470784080334</v>
      </c>
      <c r="N30" s="113">
        <f t="shared" si="0"/>
        <v>0.84982537347072162</v>
      </c>
      <c r="O30" s="113">
        <f t="shared" si="0"/>
        <v>0.85097263358072817</v>
      </c>
    </row>
    <row r="31" spans="1:16" s="55" customFormat="1" ht="16" thickBot="1" x14ac:dyDescent="0.25">
      <c r="A31" s="64"/>
      <c r="B31" s="65"/>
      <c r="C31" s="54"/>
      <c r="D31" s="54"/>
      <c r="E31" s="113">
        <f>(E29-D29)/D29</f>
        <v>0.16985231135574619</v>
      </c>
      <c r="F31" s="113">
        <f>(F29-E29)/E29</f>
        <v>9.56774282378548E-2</v>
      </c>
      <c r="G31" s="113">
        <f t="shared" ref="G31:I31" si="1">(G29-F29)/F29</f>
        <v>-0.13099915354388858</v>
      </c>
      <c r="H31" s="113">
        <f t="shared" si="1"/>
        <v>0.53271092907800577</v>
      </c>
      <c r="I31" s="113">
        <f t="shared" si="1"/>
        <v>0.31634354950575511</v>
      </c>
      <c r="J31" s="113"/>
      <c r="K31" s="113"/>
      <c r="L31" s="113"/>
      <c r="M31" s="113"/>
      <c r="N31" s="113"/>
      <c r="O31" s="113"/>
    </row>
    <row r="32" spans="1:16" s="55" customFormat="1" ht="16" thickBot="1" x14ac:dyDescent="0.25">
      <c r="A32" s="411" t="s">
        <v>316</v>
      </c>
      <c r="B32" s="412"/>
      <c r="C32" s="54">
        <v>1410379</v>
      </c>
      <c r="D32" s="54">
        <v>1816260</v>
      </c>
      <c r="E32" s="54">
        <f t="shared" ref="E32:O32" si="2">E27-E29</f>
        <v>2043610</v>
      </c>
      <c r="F32" s="54">
        <f t="shared" si="2"/>
        <v>2111057</v>
      </c>
      <c r="G32" s="54">
        <f t="shared" si="2"/>
        <v>2041002</v>
      </c>
      <c r="H32" s="54">
        <f t="shared" si="2"/>
        <v>3151513</v>
      </c>
      <c r="I32" s="54">
        <f t="shared" si="2"/>
        <v>4703178</v>
      </c>
      <c r="J32" s="54">
        <f t="shared" si="2"/>
        <v>5984514.5390515402</v>
      </c>
      <c r="K32" s="54">
        <f t="shared" si="2"/>
        <v>5918530.9195755869</v>
      </c>
      <c r="L32" s="54">
        <f t="shared" si="2"/>
        <v>6530742.4687247425</v>
      </c>
      <c r="M32" s="54">
        <f t="shared" si="2"/>
        <v>7151470.1326334253</v>
      </c>
      <c r="N32" s="54">
        <f t="shared" si="2"/>
        <v>7721517.2567639947</v>
      </c>
      <c r="O32" s="54">
        <f t="shared" si="2"/>
        <v>8322450.6528602466</v>
      </c>
    </row>
    <row r="33" spans="1:16" s="55" customFormat="1" ht="16" hidden="1" thickBot="1" x14ac:dyDescent="0.25">
      <c r="A33" s="416" t="s">
        <v>593</v>
      </c>
      <c r="B33" s="416"/>
      <c r="C33" s="59"/>
      <c r="D33" s="59"/>
      <c r="E33" s="60">
        <v>13325966</v>
      </c>
      <c r="F33" s="60">
        <v>14522902</v>
      </c>
      <c r="G33" s="60">
        <v>12620414</v>
      </c>
      <c r="H33" s="60">
        <v>19343448</v>
      </c>
      <c r="I33" s="60">
        <v>25462623</v>
      </c>
      <c r="J33" s="54"/>
      <c r="K33" s="54"/>
      <c r="L33" s="54"/>
      <c r="M33" s="54"/>
      <c r="N33" s="54"/>
      <c r="O33" s="54"/>
    </row>
    <row r="34" spans="1:16" s="55" customFormat="1" ht="16" thickBot="1" x14ac:dyDescent="0.25">
      <c r="A34" s="66"/>
      <c r="B34" s="66" t="s">
        <v>702</v>
      </c>
      <c r="C34" s="59"/>
      <c r="D34" s="59"/>
      <c r="E34" s="60">
        <f>E32*'Revenue breakdown'!B8</f>
        <v>1997523.5827526329</v>
      </c>
      <c r="F34" s="60">
        <f>F32*'Revenue breakdown'!C8</f>
        <v>2046232.139372224</v>
      </c>
      <c r="G34" s="60">
        <f>G32*'Revenue breakdown'!D8</f>
        <v>1875943.2160243448</v>
      </c>
      <c r="H34" s="60">
        <f>H32*'Revenue breakdown'!E8</f>
        <v>2599961.8238759781</v>
      </c>
      <c r="I34" s="60">
        <f>I32*'Revenue breakdown'!F8</f>
        <v>3225614.5095753302</v>
      </c>
      <c r="J34" s="54">
        <f>J35*'Revenue breakdown'!G6</f>
        <v>2789753.7833345458</v>
      </c>
      <c r="K34" s="54">
        <f>K35*'Revenue breakdown'!H6</f>
        <v>2860057.5485237786</v>
      </c>
      <c r="L34" s="54">
        <f>L35*'Revenue breakdown'!I6</f>
        <v>2975297.3080561114</v>
      </c>
      <c r="M34" s="54">
        <f>M35*'Revenue breakdown'!J6</f>
        <v>3085391.2649611589</v>
      </c>
      <c r="N34" s="54">
        <f>N35*'Revenue breakdown'!K6</f>
        <v>3161760.6193636633</v>
      </c>
      <c r="O34" s="54">
        <f>O35*'Revenue breakdown'!L6</f>
        <v>3387524.6960969605</v>
      </c>
    </row>
    <row r="35" spans="1:16" s="55" customFormat="1" ht="16" thickBot="1" x14ac:dyDescent="0.25">
      <c r="A35" s="66"/>
      <c r="B35" s="66" t="s">
        <v>700</v>
      </c>
      <c r="C35" s="59"/>
      <c r="D35" s="59"/>
      <c r="E35" s="113">
        <f>E34/E23</f>
        <v>0.13057130614231111</v>
      </c>
      <c r="F35" s="113">
        <f>F34/F23</f>
        <v>0.12301533365309428</v>
      </c>
      <c r="G35" s="113">
        <f>G34/G23</f>
        <v>0.12795101701454537</v>
      </c>
      <c r="H35" s="113">
        <f>H34/H23</f>
        <v>0.11557974356461334</v>
      </c>
      <c r="I35" s="113">
        <f>I34/I23</f>
        <v>0.10692951629480452</v>
      </c>
      <c r="J35" s="114">
        <f>AVERAGE(E35:I35)</f>
        <v>0.12080938333387373</v>
      </c>
      <c r="K35" s="113">
        <f t="shared" ref="K35:O35" si="3">AVERAGE(F35:J35)</f>
        <v>0.11885699877218622</v>
      </c>
      <c r="L35" s="114">
        <f t="shared" si="3"/>
        <v>0.11802533179600463</v>
      </c>
      <c r="M35" s="113">
        <f t="shared" si="3"/>
        <v>0.11604019475229647</v>
      </c>
      <c r="N35" s="113">
        <f t="shared" si="3"/>
        <v>0.11613228498983311</v>
      </c>
      <c r="O35" s="113">
        <f t="shared" si="3"/>
        <v>0.11797283872883883</v>
      </c>
      <c r="P35" s="113"/>
    </row>
    <row r="36" spans="1:16" s="55" customFormat="1" ht="16" thickBot="1" x14ac:dyDescent="0.25">
      <c r="A36" s="66"/>
      <c r="B36" s="66" t="s">
        <v>636</v>
      </c>
      <c r="C36" s="59"/>
      <c r="D36" s="59"/>
      <c r="E36" s="60">
        <f>E32*'Revenue breakdown'!B15</f>
        <v>46086.417247367121</v>
      </c>
      <c r="F36" s="60">
        <f>F32*'Revenue breakdown'!C15</f>
        <v>64824.733715302915</v>
      </c>
      <c r="G36" s="60">
        <f>G32*'Revenue breakdown'!D15</f>
        <v>165775.71060696247</v>
      </c>
      <c r="H36" s="60">
        <f>H32*'Revenue breakdown'!E15</f>
        <v>557198.55150866904</v>
      </c>
      <c r="I36" s="60">
        <f>I32*'Revenue breakdown'!F15</f>
        <v>1496112.2134192954</v>
      </c>
      <c r="J36" s="54">
        <f>J37*'Revenue breakdown'!G12</f>
        <v>283155.17150631692</v>
      </c>
      <c r="K36" s="54">
        <f>K37*'Revenue breakdown'!H12</f>
        <v>370737.33057146845</v>
      </c>
      <c r="L36" s="54">
        <f>L37*'Revenue breakdown'!I12</f>
        <v>483947.05176927021</v>
      </c>
      <c r="M36" s="54">
        <f>M37*'Revenue breakdown'!J12</f>
        <v>602516.48973691312</v>
      </c>
      <c r="N36" s="54">
        <f>N37*'Revenue breakdown'!K12</f>
        <v>691022.77856265637</v>
      </c>
      <c r="O36" s="54">
        <f>O37*'Revenue breakdown'!L12</f>
        <v>660862.26140006038</v>
      </c>
    </row>
    <row r="37" spans="1:16" s="55" customFormat="1" ht="16" thickBot="1" x14ac:dyDescent="0.25">
      <c r="A37" s="66"/>
      <c r="B37" s="66" t="s">
        <v>624</v>
      </c>
      <c r="C37" s="59"/>
      <c r="D37" s="59"/>
      <c r="E37" s="113">
        <f>E36/E23</f>
        <v>3.0125119659993797E-3</v>
      </c>
      <c r="F37" s="113">
        <f>F36/F23</f>
        <v>3.8971317542727596E-3</v>
      </c>
      <c r="G37" s="113">
        <f>G36/G23</f>
        <v>1.1306936471895075E-2</v>
      </c>
      <c r="H37" s="113">
        <f>H36/H23</f>
        <v>2.4769927429910594E-2</v>
      </c>
      <c r="I37" s="113">
        <f>I36/I23</f>
        <v>4.9596303224943218E-2</v>
      </c>
      <c r="J37" s="115">
        <f>AVERAGE(E37:I37)</f>
        <v>1.8516562169404206E-2</v>
      </c>
      <c r="K37" s="113">
        <f t="shared" ref="K37:O37" si="4">AVERAGE(F37:J37)</f>
        <v>2.1617372210085167E-2</v>
      </c>
      <c r="L37" s="114">
        <f t="shared" si="4"/>
        <v>2.5161420301247649E-2</v>
      </c>
      <c r="M37" s="113">
        <f t="shared" si="4"/>
        <v>2.7932317067118167E-2</v>
      </c>
      <c r="N37" s="115">
        <f t="shared" si="4"/>
        <v>2.8564794994559679E-2</v>
      </c>
      <c r="O37" s="113">
        <f t="shared" si="4"/>
        <v>2.4358493348482974E-2</v>
      </c>
    </row>
    <row r="38" spans="1:16" s="156" customFormat="1" ht="16" thickBot="1" x14ac:dyDescent="0.25">
      <c r="A38" s="152"/>
      <c r="B38" s="152" t="s">
        <v>701</v>
      </c>
      <c r="C38" s="153"/>
      <c r="D38" s="153"/>
      <c r="E38" s="154">
        <f t="shared" ref="E38:O38" si="5">E32/E27</f>
        <v>0.13358381810831049</v>
      </c>
      <c r="F38" s="154">
        <f t="shared" si="5"/>
        <v>0.12691247303708797</v>
      </c>
      <c r="G38" s="154">
        <f t="shared" si="5"/>
        <v>0.13920905462275576</v>
      </c>
      <c r="H38" s="154">
        <f t="shared" si="5"/>
        <v>0.14009862030878828</v>
      </c>
      <c r="I38" s="154">
        <f t="shared" si="5"/>
        <v>0.15591092707931078</v>
      </c>
      <c r="J38" s="155">
        <f t="shared" si="5"/>
        <v>0.15591092707931076</v>
      </c>
      <c r="K38" s="155">
        <f t="shared" si="5"/>
        <v>0.14360840042545078</v>
      </c>
      <c r="L38" s="155">
        <f t="shared" si="5"/>
        <v>0.14694758590312332</v>
      </c>
      <c r="M38" s="155">
        <f t="shared" si="5"/>
        <v>0.14849529215919666</v>
      </c>
      <c r="N38" s="155">
        <f t="shared" si="5"/>
        <v>0.1501746265292784</v>
      </c>
      <c r="O38" s="155">
        <f t="shared" si="5"/>
        <v>0.14902736641927186</v>
      </c>
    </row>
    <row r="39" spans="1:16" s="55" customFormat="1" ht="16" thickBot="1" x14ac:dyDescent="0.25">
      <c r="A39" s="411" t="s">
        <v>317</v>
      </c>
      <c r="B39" s="412"/>
      <c r="C39" s="54">
        <v>1180366</v>
      </c>
      <c r="D39" s="54">
        <v>1454296</v>
      </c>
      <c r="E39" s="54">
        <v>1583114</v>
      </c>
      <c r="F39" s="54">
        <v>1768320</v>
      </c>
      <c r="G39" s="54">
        <v>1935903</v>
      </c>
      <c r="H39" s="54">
        <v>2656653</v>
      </c>
      <c r="I39" s="54">
        <v>4146636</v>
      </c>
      <c r="J39" s="54">
        <f>J42*J23</f>
        <v>4961021.4138848651</v>
      </c>
      <c r="K39" s="54">
        <f t="shared" ref="K39:O39" si="6">K42*K23</f>
        <v>5309552.5681383852</v>
      </c>
      <c r="L39" s="54">
        <f t="shared" si="6"/>
        <v>5942836.7634142833</v>
      </c>
      <c r="M39" s="54">
        <f t="shared" si="6"/>
        <v>6379781.9611718133</v>
      </c>
      <c r="N39" s="54">
        <f t="shared" si="6"/>
        <v>6913568.7722332375</v>
      </c>
      <c r="O39" s="54">
        <f t="shared" si="6"/>
        <v>7577439.6470100051</v>
      </c>
    </row>
    <row r="40" spans="1:16" s="55" customFormat="1" ht="16" thickBot="1" x14ac:dyDescent="0.25">
      <c r="A40" s="57"/>
      <c r="B40" s="58" t="s">
        <v>702</v>
      </c>
      <c r="C40" s="54"/>
      <c r="D40" s="54"/>
      <c r="E40" s="113">
        <f>E39*'Revenue breakdown'!B8/E23</f>
        <v>0.10114907577873404</v>
      </c>
      <c r="F40" s="113">
        <f>F39*'Revenue breakdown'!C8/F23</f>
        <v>0.10304339238847632</v>
      </c>
      <c r="G40" s="113">
        <f>G39*'Revenue breakdown'!D8/G23</f>
        <v>0.12136232972408133</v>
      </c>
      <c r="H40" s="113">
        <f>H39*'Revenue breakdown'!E8/H23</f>
        <v>9.7431066437029049E-2</v>
      </c>
      <c r="I40" s="113">
        <f>I39*'Revenue breakdown'!F8/I23</f>
        <v>9.4276206796898396E-2</v>
      </c>
      <c r="J40" s="113">
        <f>AVERAGE(E40:I40)</f>
        <v>0.10345241422504384</v>
      </c>
      <c r="K40" s="113">
        <f t="shared" ref="K40:O40" si="7">AVERAGE(F40:J40)</f>
        <v>0.10391308191430579</v>
      </c>
      <c r="L40" s="113">
        <f t="shared" si="7"/>
        <v>0.10408701981947169</v>
      </c>
      <c r="M40" s="113">
        <f t="shared" si="7"/>
        <v>0.10063195783854975</v>
      </c>
      <c r="N40" s="113">
        <f t="shared" si="7"/>
        <v>0.10127213611885388</v>
      </c>
      <c r="O40" s="113">
        <f t="shared" si="7"/>
        <v>0.10267132198324498</v>
      </c>
    </row>
    <row r="41" spans="1:16" s="55" customFormat="1" ht="16" thickBot="1" x14ac:dyDescent="0.25">
      <c r="A41" s="57"/>
      <c r="B41" s="58" t="s">
        <v>636</v>
      </c>
      <c r="C41" s="54"/>
      <c r="D41" s="54"/>
      <c r="E41" s="113">
        <f>E39*'Revenue breakdown'!B15/'FPT Digital Retail JSC | Income'!E23</f>
        <v>2.3336888489198728E-3</v>
      </c>
      <c r="F41" s="113">
        <f>F39*'Revenue breakdown'!C15/'FPT Digital Retail JSC | Income'!F23</f>
        <v>3.2644196834645421E-3</v>
      </c>
      <c r="G41" s="113">
        <f>G39*'Revenue breakdown'!D15/'FPT Digital Retail JSC | Income'!G23</f>
        <v>1.0724699062887293E-2</v>
      </c>
      <c r="H41" s="113">
        <f>H39*'Revenue breakdown'!E15/'FPT Digital Retail JSC | Income'!H23</f>
        <v>2.0880479317855982E-2</v>
      </c>
      <c r="I41" s="113">
        <f>I39*'Revenue breakdown'!F15/'FPT Digital Retail JSC | Income'!I23</f>
        <v>4.3727415041375353E-2</v>
      </c>
      <c r="J41" s="113">
        <f>AVERAGE(E41:I41)*(100%+'Revenue breakdown'!G17)</f>
        <v>2.5794067315242895E-2</v>
      </c>
      <c r="K41" s="113">
        <f>AVERAGE(F41:J41)*(100%+'Revenue breakdown'!H17)</f>
        <v>2.4918947798208725E-2</v>
      </c>
      <c r="L41" s="113">
        <f>AVERAGE(G41:K41)*(100%+'Revenue breakdown'!I17)</f>
        <v>2.963215835700081E-2</v>
      </c>
      <c r="M41" s="113">
        <f>AVERAGE(H41:L41)*(100%+'Revenue breakdown'!J17)</f>
        <v>3.1839767368436002E-2</v>
      </c>
      <c r="N41" s="113">
        <f>AVERAGE(I41:M41)*(100%+'Revenue breakdown'!K17)</f>
        <v>3.3188821984311036E-2</v>
      </c>
      <c r="O41" s="113">
        <f>AVERAGE(J41:N41)*(100%+'Revenue breakdown'!L17)</f>
        <v>3.3015379193743137E-2</v>
      </c>
    </row>
    <row r="42" spans="1:16" s="55" customFormat="1" ht="16" thickBot="1" x14ac:dyDescent="0.25">
      <c r="A42" s="57"/>
      <c r="B42" s="58" t="s">
        <v>624</v>
      </c>
      <c r="C42" s="54"/>
      <c r="D42" s="54"/>
      <c r="E42" s="113">
        <f>E39/E23</f>
        <v>0.10348276462765392</v>
      </c>
      <c r="F42" s="113">
        <f>F39/F23</f>
        <v>0.1063078184629517</v>
      </c>
      <c r="G42" s="113">
        <f>G39/G23</f>
        <v>0.13204064791281769</v>
      </c>
      <c r="H42" s="113">
        <f>H39/H23</f>
        <v>0.11809991579892049</v>
      </c>
      <c r="I42" s="113">
        <f>I39/I23</f>
        <v>0.13746149157451512</v>
      </c>
      <c r="J42" s="113">
        <f>SUM(J40:J41)</f>
        <v>0.12924648154028673</v>
      </c>
      <c r="K42" s="113">
        <f t="shared" ref="K42:O42" si="8">SUM(K40:K41)</f>
        <v>0.12883202971251451</v>
      </c>
      <c r="L42" s="113">
        <f t="shared" si="8"/>
        <v>0.1337191781764725</v>
      </c>
      <c r="M42" s="113">
        <f t="shared" si="8"/>
        <v>0.13247172520698575</v>
      </c>
      <c r="N42" s="113">
        <f t="shared" si="8"/>
        <v>0.13446095810316491</v>
      </c>
      <c r="O42" s="113">
        <f t="shared" si="8"/>
        <v>0.13568670117698811</v>
      </c>
    </row>
    <row r="43" spans="1:16" s="55" customFormat="1" ht="16" thickBot="1" x14ac:dyDescent="0.25">
      <c r="A43" s="57"/>
      <c r="B43" s="58"/>
      <c r="C43" s="54"/>
      <c r="D43" s="54"/>
      <c r="E43" s="113">
        <f>E30+E42</f>
        <v>0.9698989465193435</v>
      </c>
      <c r="F43" s="113">
        <f>F30+F42</f>
        <v>0.97939534542586371</v>
      </c>
      <c r="G43" s="113">
        <f>G30+G42</f>
        <v>0.99283159329006188</v>
      </c>
      <c r="H43" s="113">
        <f>H30+H42</f>
        <v>0.97800129549013226</v>
      </c>
      <c r="I43" s="113">
        <f>I30+I42</f>
        <v>0.98155056449520439</v>
      </c>
      <c r="J43" s="113">
        <f>SUM(J42,J30)</f>
        <v>0.97333555446097597</v>
      </c>
      <c r="K43" s="113">
        <f t="shared" ref="K43:O43" si="9">SUM(K42,K30)</f>
        <v>0.98522362928706375</v>
      </c>
      <c r="L43" s="113">
        <f t="shared" si="9"/>
        <v>0.98677159227334921</v>
      </c>
      <c r="M43" s="113">
        <f t="shared" si="9"/>
        <v>0.98397643304778915</v>
      </c>
      <c r="N43" s="113">
        <f t="shared" si="9"/>
        <v>0.98428633157388656</v>
      </c>
      <c r="O43" s="113">
        <f t="shared" si="9"/>
        <v>0.98665933475771628</v>
      </c>
    </row>
    <row r="44" spans="1:16" s="55" customFormat="1" ht="16" thickBot="1" x14ac:dyDescent="0.25">
      <c r="A44" s="57"/>
      <c r="B44" s="58"/>
      <c r="C44" s="54"/>
      <c r="D44" s="54"/>
      <c r="E44" s="113">
        <f>E39/E32</f>
        <v>0.77466542050586951</v>
      </c>
      <c r="F44" s="113">
        <f t="shared" ref="F44:O44" si="10">F39/F32</f>
        <v>0.83764673336627105</v>
      </c>
      <c r="G44" s="113">
        <f t="shared" si="10"/>
        <v>0.94850617490820688</v>
      </c>
      <c r="H44" s="113">
        <f t="shared" si="10"/>
        <v>0.84297700818622678</v>
      </c>
      <c r="I44" s="113">
        <f t="shared" si="10"/>
        <v>0.88166682188086443</v>
      </c>
      <c r="J44" s="113">
        <f t="shared" si="10"/>
        <v>0.82897641596691918</v>
      </c>
      <c r="K44" s="113">
        <f t="shared" si="10"/>
        <v>0.89710650164502792</v>
      </c>
      <c r="L44" s="113">
        <f t="shared" si="10"/>
        <v>0.90997873394550499</v>
      </c>
      <c r="M44" s="113">
        <f t="shared" si="10"/>
        <v>0.89209377132958134</v>
      </c>
      <c r="N44" s="113">
        <f>N39/N32</f>
        <v>0.8953640252732713</v>
      </c>
      <c r="O44" s="113">
        <f t="shared" si="10"/>
        <v>0.91048177550993381</v>
      </c>
      <c r="P44" s="113"/>
    </row>
    <row r="45" spans="1:16" ht="16" thickBot="1" x14ac:dyDescent="0.25">
      <c r="A45" s="409" t="s">
        <v>318</v>
      </c>
      <c r="B45" s="410"/>
      <c r="C45" s="18">
        <v>653541</v>
      </c>
      <c r="D45" s="18">
        <v>808222</v>
      </c>
      <c r="E45" s="18">
        <v>935387</v>
      </c>
      <c r="F45" s="18">
        <v>984520</v>
      </c>
      <c r="G45" s="18">
        <v>1049295</v>
      </c>
      <c r="H45" s="18">
        <v>1101041</v>
      </c>
      <c r="I45" s="18">
        <v>1842001</v>
      </c>
      <c r="J45" s="101"/>
      <c r="K45" s="18"/>
      <c r="L45" s="18"/>
      <c r="M45" s="18"/>
      <c r="N45" s="18"/>
      <c r="O45" s="18"/>
    </row>
    <row r="46" spans="1:16" ht="16" thickBot="1" x14ac:dyDescent="0.25">
      <c r="A46" s="409" t="s">
        <v>319</v>
      </c>
      <c r="B46" s="410"/>
      <c r="C46" s="18">
        <v>526826</v>
      </c>
      <c r="D46" s="18">
        <v>646073</v>
      </c>
      <c r="E46" s="18">
        <v>647727</v>
      </c>
      <c r="F46" s="18">
        <v>783800</v>
      </c>
      <c r="G46" s="18">
        <v>886608</v>
      </c>
      <c r="H46" s="18">
        <v>1365500</v>
      </c>
      <c r="I46" s="18">
        <v>1957142</v>
      </c>
      <c r="J46" s="18"/>
      <c r="K46" s="18"/>
      <c r="L46" s="18"/>
      <c r="M46" s="18"/>
      <c r="N46" s="18"/>
      <c r="O46" s="18"/>
    </row>
    <row r="47" spans="1:16" ht="16" thickBot="1" x14ac:dyDescent="0.25">
      <c r="A47" s="409" t="s">
        <v>320</v>
      </c>
      <c r="B47" s="410"/>
      <c r="C47" s="18" t="s">
        <v>72</v>
      </c>
      <c r="D47" s="18" t="s">
        <v>72</v>
      </c>
      <c r="E47" s="18" t="s">
        <v>72</v>
      </c>
      <c r="F47" s="18" t="s">
        <v>72</v>
      </c>
      <c r="G47" s="18" t="s">
        <v>72</v>
      </c>
      <c r="H47" s="18">
        <v>190112</v>
      </c>
      <c r="I47" s="18">
        <v>347493</v>
      </c>
      <c r="J47" s="18"/>
      <c r="K47" s="18"/>
      <c r="L47" s="18"/>
      <c r="M47" s="18"/>
      <c r="N47" s="18"/>
      <c r="O47" s="18"/>
    </row>
    <row r="48" spans="1:16" ht="16" thickBot="1" x14ac:dyDescent="0.25">
      <c r="A48" s="402" t="s">
        <v>321</v>
      </c>
      <c r="B48" s="403"/>
      <c r="C48" s="14" t="s">
        <v>72</v>
      </c>
      <c r="D48" s="14" t="s">
        <v>72</v>
      </c>
      <c r="E48" s="14" t="s">
        <v>72</v>
      </c>
      <c r="F48" s="14" t="s">
        <v>72</v>
      </c>
      <c r="G48" s="14" t="s">
        <v>72</v>
      </c>
      <c r="H48" s="14" t="s">
        <v>72</v>
      </c>
      <c r="I48" s="14" t="s">
        <v>72</v>
      </c>
      <c r="J48" s="18"/>
      <c r="K48" s="18"/>
      <c r="L48" s="18"/>
      <c r="M48" s="18"/>
      <c r="N48" s="18"/>
      <c r="O48" s="18"/>
    </row>
    <row r="49" spans="1:15" s="55" customFormat="1" ht="16" thickBot="1" x14ac:dyDescent="0.25">
      <c r="A49" s="411" t="s">
        <v>322</v>
      </c>
      <c r="B49" s="412"/>
      <c r="C49" s="54" t="s">
        <v>72</v>
      </c>
      <c r="D49" s="54" t="s">
        <v>72</v>
      </c>
      <c r="E49" s="54">
        <v>781</v>
      </c>
      <c r="F49" s="54">
        <v>837</v>
      </c>
      <c r="G49" s="54">
        <v>1372</v>
      </c>
      <c r="H49" s="54">
        <v>3811</v>
      </c>
      <c r="I49" s="54">
        <v>115286</v>
      </c>
      <c r="J49" s="54"/>
      <c r="K49" s="54"/>
      <c r="L49" s="54"/>
      <c r="M49" s="54"/>
      <c r="N49" s="54"/>
      <c r="O49" s="54"/>
    </row>
    <row r="50" spans="1:15" s="55" customFormat="1" ht="16" thickBot="1" x14ac:dyDescent="0.25">
      <c r="A50" s="57"/>
      <c r="B50" s="58"/>
      <c r="C50" s="54"/>
      <c r="D50" s="54"/>
      <c r="E50" s="116">
        <f>E49/'Revenue breakdown'!B3</f>
        <v>5.1051307217419415E-5</v>
      </c>
      <c r="F50" s="116">
        <f>F49/'Revenue breakdown'!C3</f>
        <v>5.0318745506181332E-5</v>
      </c>
      <c r="G50" s="116">
        <f>G49/'Revenue breakdown'!D3</f>
        <v>9.3578949428967199E-5</v>
      </c>
      <c r="H50" s="116">
        <f>H49/'Revenue breakdown'!E3</f>
        <v>1.6941571936932899E-4</v>
      </c>
      <c r="I50" s="116">
        <f>I49/'Revenue breakdown'!F3</f>
        <v>3.8217450284181082E-3</v>
      </c>
      <c r="J50" s="116"/>
      <c r="K50" s="116"/>
      <c r="L50" s="116"/>
      <c r="M50" s="116"/>
      <c r="N50" s="116"/>
      <c r="O50" s="116"/>
    </row>
    <row r="51" spans="1:15" s="55" customFormat="1" ht="16" thickBot="1" x14ac:dyDescent="0.25">
      <c r="A51" s="411" t="s">
        <v>323</v>
      </c>
      <c r="B51" s="412"/>
      <c r="C51" s="54">
        <v>73839</v>
      </c>
      <c r="D51" s="54">
        <v>78951</v>
      </c>
      <c r="E51" s="54">
        <v>95671</v>
      </c>
      <c r="F51" s="54">
        <v>135183</v>
      </c>
      <c r="G51" s="54">
        <v>113682</v>
      </c>
      <c r="H51" s="54">
        <v>132229</v>
      </c>
      <c r="I51" s="54">
        <v>231528</v>
      </c>
      <c r="J51" s="113"/>
      <c r="K51" s="54"/>
      <c r="L51" s="54"/>
      <c r="M51" s="54"/>
      <c r="N51" s="54"/>
      <c r="O51" s="54"/>
    </row>
    <row r="52" spans="1:15" ht="16" thickBot="1" x14ac:dyDescent="0.25">
      <c r="A52" s="409" t="s">
        <v>324</v>
      </c>
      <c r="B52" s="410"/>
      <c r="C52" s="18">
        <v>73839</v>
      </c>
      <c r="D52" s="18">
        <v>78951</v>
      </c>
      <c r="E52" s="18">
        <v>95671</v>
      </c>
      <c r="F52" s="18">
        <v>135183</v>
      </c>
      <c r="G52" s="18">
        <v>113682</v>
      </c>
      <c r="H52" s="18">
        <v>132229</v>
      </c>
      <c r="I52" s="18">
        <v>231528</v>
      </c>
      <c r="J52" s="19"/>
      <c r="K52" s="19"/>
      <c r="L52" s="19"/>
      <c r="M52" s="19"/>
      <c r="N52" s="19"/>
      <c r="O52" s="19"/>
    </row>
    <row r="53" spans="1:15" ht="16" thickBot="1" x14ac:dyDescent="0.25">
      <c r="A53" s="407" t="s">
        <v>325</v>
      </c>
      <c r="B53" s="408"/>
      <c r="C53" s="16">
        <v>-56338</v>
      </c>
      <c r="D53" s="16">
        <v>-32858</v>
      </c>
      <c r="E53" s="16">
        <v>-18853</v>
      </c>
      <c r="F53" s="16">
        <v>-51481</v>
      </c>
      <c r="G53" s="16">
        <v>-37582</v>
      </c>
      <c r="H53" s="16">
        <v>-167854</v>
      </c>
      <c r="I53" s="16">
        <v>-129556</v>
      </c>
      <c r="J53" s="12"/>
      <c r="K53" s="12"/>
      <c r="L53" s="12"/>
      <c r="M53" s="12"/>
      <c r="N53" s="12"/>
      <c r="O53" s="12"/>
    </row>
    <row r="54" spans="1:15" ht="16" thickBot="1" x14ac:dyDescent="0.25">
      <c r="A54" s="409" t="s">
        <v>326</v>
      </c>
      <c r="B54" s="410"/>
      <c r="C54" s="18">
        <v>-54495</v>
      </c>
      <c r="D54" s="18">
        <v>-35206</v>
      </c>
      <c r="E54" s="18">
        <v>-20946</v>
      </c>
      <c r="F54" s="18">
        <v>-61193</v>
      </c>
      <c r="G54" s="18">
        <v>-55871</v>
      </c>
      <c r="H54" s="18">
        <v>-169344</v>
      </c>
      <c r="I54" s="18">
        <v>-147691</v>
      </c>
      <c r="J54" s="16"/>
      <c r="K54" s="16"/>
      <c r="L54" s="16"/>
      <c r="M54" s="16"/>
      <c r="N54" s="16"/>
      <c r="O54" s="16"/>
    </row>
    <row r="55" spans="1:15" ht="16" thickBot="1" x14ac:dyDescent="0.25">
      <c r="A55" s="409" t="s">
        <v>327</v>
      </c>
      <c r="B55" s="410"/>
      <c r="C55" s="18">
        <v>-1842</v>
      </c>
      <c r="D55" s="18">
        <v>2348</v>
      </c>
      <c r="E55" s="18">
        <v>2094</v>
      </c>
      <c r="F55" s="18">
        <v>9712</v>
      </c>
      <c r="G55" s="18">
        <v>18289</v>
      </c>
      <c r="H55" s="18">
        <v>1490</v>
      </c>
      <c r="I55" s="18">
        <v>18135</v>
      </c>
      <c r="J55" s="18"/>
      <c r="K55" s="18"/>
      <c r="L55" s="18"/>
      <c r="M55" s="18"/>
      <c r="N55" s="18"/>
      <c r="O55" s="18"/>
    </row>
    <row r="56" spans="1:15" ht="16" thickBot="1" x14ac:dyDescent="0.25">
      <c r="A56" s="402" t="s">
        <v>328</v>
      </c>
      <c r="B56" s="403"/>
      <c r="C56" s="14" t="s">
        <v>72</v>
      </c>
      <c r="D56" s="14" t="s">
        <v>72</v>
      </c>
      <c r="E56" s="14" t="s">
        <v>72</v>
      </c>
      <c r="F56" s="14" t="s">
        <v>72</v>
      </c>
      <c r="G56" s="14" t="s">
        <v>72</v>
      </c>
      <c r="H56" s="14" t="s">
        <v>72</v>
      </c>
      <c r="I56" s="14" t="s">
        <v>72</v>
      </c>
      <c r="J56" s="16"/>
      <c r="K56" s="16"/>
      <c r="L56" s="16"/>
      <c r="M56" s="16"/>
      <c r="N56" s="16"/>
      <c r="O56" s="16"/>
    </row>
    <row r="57" spans="1:15" ht="16" thickBot="1" x14ac:dyDescent="0.25">
      <c r="A57" s="402" t="s">
        <v>329</v>
      </c>
      <c r="B57" s="403"/>
      <c r="C57" s="14">
        <v>17501</v>
      </c>
      <c r="D57" s="14">
        <v>46093</v>
      </c>
      <c r="E57" s="14">
        <v>76818</v>
      </c>
      <c r="F57" s="14">
        <v>83702</v>
      </c>
      <c r="G57" s="14">
        <v>76101</v>
      </c>
      <c r="H57" s="14">
        <v>-35625</v>
      </c>
      <c r="I57" s="14">
        <v>101972</v>
      </c>
      <c r="J57" s="18"/>
      <c r="K57" s="18"/>
      <c r="L57" s="18"/>
      <c r="M57" s="18"/>
      <c r="N57" s="18"/>
      <c r="O57" s="18"/>
    </row>
    <row r="58" spans="1:15" ht="16" thickBot="1" x14ac:dyDescent="0.25">
      <c r="A58" s="402" t="s">
        <v>330</v>
      </c>
      <c r="B58" s="403"/>
      <c r="C58" s="14" t="s">
        <v>72</v>
      </c>
      <c r="D58" s="14" t="s">
        <v>72</v>
      </c>
      <c r="E58" s="14" t="s">
        <v>72</v>
      </c>
      <c r="F58" s="14" t="s">
        <v>72</v>
      </c>
      <c r="G58" s="14" t="s">
        <v>72</v>
      </c>
      <c r="H58" s="14" t="s">
        <v>72</v>
      </c>
      <c r="I58" s="14" t="s">
        <v>72</v>
      </c>
      <c r="J58" s="18"/>
      <c r="K58" s="18"/>
      <c r="L58" s="18"/>
      <c r="M58" s="18"/>
      <c r="N58" s="18"/>
      <c r="O58" s="18"/>
    </row>
    <row r="59" spans="1:15" ht="16" thickBot="1" x14ac:dyDescent="0.25">
      <c r="A59" s="407" t="s">
        <v>331</v>
      </c>
      <c r="B59" s="408"/>
      <c r="C59" s="16">
        <v>-17056</v>
      </c>
      <c r="D59" s="16">
        <v>-18367</v>
      </c>
      <c r="E59" s="16">
        <v>-19111</v>
      </c>
      <c r="F59" s="16">
        <v>-13787</v>
      </c>
      <c r="G59" s="16">
        <v>14680</v>
      </c>
      <c r="H59" s="16">
        <v>-15711</v>
      </c>
      <c r="I59" s="16">
        <v>-19399</v>
      </c>
      <c r="J59" s="18"/>
      <c r="K59" s="18"/>
      <c r="L59" s="18"/>
      <c r="M59" s="18"/>
      <c r="N59" s="18"/>
      <c r="O59" s="18"/>
    </row>
    <row r="60" spans="1:15" ht="16" thickBot="1" x14ac:dyDescent="0.25">
      <c r="A60" s="407" t="s">
        <v>331</v>
      </c>
      <c r="B60" s="408"/>
      <c r="C60" s="18">
        <v>-17056</v>
      </c>
      <c r="D60" s="18">
        <v>-18367</v>
      </c>
      <c r="E60" s="18">
        <v>-19111</v>
      </c>
      <c r="F60" s="18">
        <v>-13787</v>
      </c>
      <c r="G60" s="18">
        <v>14680</v>
      </c>
      <c r="H60" s="18">
        <v>-15711</v>
      </c>
      <c r="I60" s="18">
        <v>-19399</v>
      </c>
      <c r="J60" s="18"/>
      <c r="K60" s="18"/>
      <c r="L60" s="18"/>
      <c r="M60" s="18"/>
      <c r="N60" s="18"/>
      <c r="O60" s="18"/>
    </row>
    <row r="61" spans="1:15" ht="16" thickBot="1" x14ac:dyDescent="0.25">
      <c r="A61" s="402" t="s">
        <v>333</v>
      </c>
      <c r="B61" s="403"/>
      <c r="C61" s="14">
        <v>10623588</v>
      </c>
      <c r="D61" s="14">
        <v>12812276</v>
      </c>
      <c r="E61" s="14">
        <v>14895546</v>
      </c>
      <c r="F61" s="14">
        <v>16361137</v>
      </c>
      <c r="G61" s="14">
        <v>14647098</v>
      </c>
      <c r="H61" s="14">
        <v>21948766</v>
      </c>
      <c r="I61" s="14">
        <v>29691833</v>
      </c>
      <c r="J61" s="14"/>
      <c r="K61" s="14"/>
      <c r="L61" s="14"/>
      <c r="M61" s="14"/>
      <c r="N61" s="14"/>
      <c r="O61" s="14"/>
    </row>
    <row r="62" spans="1:15" ht="16" thickBot="1" x14ac:dyDescent="0.25">
      <c r="A62" s="176"/>
      <c r="B62" s="177" t="s">
        <v>749</v>
      </c>
      <c r="C62" s="14"/>
      <c r="D62" s="14"/>
      <c r="E62" s="100">
        <f>(E61-D61)/D61</f>
        <v>0.16259952564243854</v>
      </c>
      <c r="F62" s="100">
        <f>(F61-E61)/E61</f>
        <v>9.8391223792669305E-2</v>
      </c>
      <c r="G62" s="100">
        <f t="shared" ref="G62:I62" si="11">(G61-F61)/F61</f>
        <v>-0.10476282913589685</v>
      </c>
      <c r="H62" s="100">
        <f t="shared" si="11"/>
        <v>0.49850612046154125</v>
      </c>
      <c r="I62" s="100">
        <f t="shared" si="11"/>
        <v>0.35277914940639488</v>
      </c>
      <c r="J62" s="14"/>
      <c r="K62" s="14"/>
      <c r="L62" s="14"/>
      <c r="M62" s="14"/>
      <c r="N62" s="14"/>
      <c r="O62" s="14"/>
    </row>
    <row r="63" spans="1:15" s="55" customFormat="1" ht="16" thickBot="1" x14ac:dyDescent="0.25">
      <c r="A63" s="411" t="s">
        <v>592</v>
      </c>
      <c r="B63" s="412"/>
      <c r="C63" s="54">
        <v>229567</v>
      </c>
      <c r="D63" s="54">
        <v>334239</v>
      </c>
      <c r="E63" s="54">
        <v>402788</v>
      </c>
      <c r="F63" s="54">
        <v>272823</v>
      </c>
      <c r="G63" s="54">
        <v>14319</v>
      </c>
      <c r="H63" s="54">
        <v>546196</v>
      </c>
      <c r="I63" s="54">
        <v>473968</v>
      </c>
      <c r="J63" s="54">
        <f>J66*'Revenue breakdown'!G3</f>
        <v>642551.34901221748</v>
      </c>
      <c r="K63" s="54">
        <f>K66*'Revenue breakdown'!H3</f>
        <v>610868.14244514517</v>
      </c>
      <c r="L63" s="54">
        <f>L66*'Revenue breakdown'!I3</f>
        <v>644701.16381907545</v>
      </c>
      <c r="M63" s="54">
        <f>M66*'Revenue breakdown'!J3</f>
        <v>828937.00210359471</v>
      </c>
      <c r="N63" s="54">
        <f>N66*'Revenue breakdown'!K3</f>
        <v>812315.18345037743</v>
      </c>
      <c r="O63" s="54">
        <f>O66*'Revenue breakdown'!L3</f>
        <v>883240.52137081628</v>
      </c>
    </row>
    <row r="64" spans="1:15" s="55" customFormat="1" ht="16" thickBot="1" x14ac:dyDescent="0.25">
      <c r="A64" s="57"/>
      <c r="B64" s="58"/>
      <c r="C64" s="54"/>
      <c r="D64" s="54"/>
      <c r="E64" s="54"/>
      <c r="F64" s="54"/>
      <c r="G64" s="54"/>
      <c r="H64" s="54"/>
      <c r="I64" s="54"/>
      <c r="J64" s="54">
        <f>J23-J29-J39</f>
        <v>1023493.1251666751</v>
      </c>
      <c r="K64" s="54"/>
      <c r="L64" s="54"/>
      <c r="M64" s="54"/>
      <c r="N64" s="54"/>
      <c r="O64" s="54"/>
    </row>
    <row r="65" spans="1:15" s="55" customFormat="1" ht="16" thickBot="1" x14ac:dyDescent="0.25">
      <c r="A65" s="57"/>
      <c r="B65" s="130" t="s">
        <v>623</v>
      </c>
      <c r="C65" s="54"/>
      <c r="D65" s="54"/>
      <c r="E65" s="113">
        <f>(E63-D63)/D63</f>
        <v>0.20508977109194318</v>
      </c>
      <c r="F65" s="113">
        <f>(F63-E63)/E63</f>
        <v>-0.32266353515993523</v>
      </c>
      <c r="G65" s="113">
        <f t="shared" ref="G65:J65" si="12">(G63-F63)/F63</f>
        <v>-0.94751542208684747</v>
      </c>
      <c r="H65" s="113">
        <f t="shared" si="12"/>
        <v>37.14484251693554</v>
      </c>
      <c r="I65" s="113">
        <f t="shared" si="12"/>
        <v>-0.13223824414678981</v>
      </c>
      <c r="J65" s="113">
        <f t="shared" si="12"/>
        <v>0.35568508636071949</v>
      </c>
      <c r="K65" s="113">
        <f>(K63-J63)/J63</f>
        <v>-4.9308442999580232E-2</v>
      </c>
      <c r="L65" s="113">
        <f t="shared" ref="L65" si="13">(L63-K63)/K63</f>
        <v>5.5385146192933797E-2</v>
      </c>
      <c r="M65" s="113">
        <f t="shared" ref="M65:N65" si="14">(M63-L63)/L63</f>
        <v>0.28576935892769995</v>
      </c>
      <c r="N65" s="113">
        <f t="shared" si="14"/>
        <v>-2.0051968498252665E-2</v>
      </c>
      <c r="O65" s="113">
        <f t="shared" ref="O65" si="15">(O63-N63)/N63</f>
        <v>8.7312584284313724E-2</v>
      </c>
    </row>
    <row r="66" spans="1:15" s="55" customFormat="1" ht="16" thickBot="1" x14ac:dyDescent="0.25">
      <c r="A66" s="57"/>
      <c r="B66" s="130" t="s">
        <v>624</v>
      </c>
      <c r="C66" s="54"/>
      <c r="D66" s="54"/>
      <c r="E66" s="114">
        <f>E63/'Revenue breakdown'!B3</f>
        <v>2.6328878273354585E-2</v>
      </c>
      <c r="F66" s="114">
        <f>F63/'Revenue breakdown'!C3</f>
        <v>1.6401566433970022E-2</v>
      </c>
      <c r="G66" s="114">
        <f>G63/'Revenue breakdown'!D3</f>
        <v>9.7664502687564228E-4</v>
      </c>
      <c r="H66" s="114">
        <f>H63/'Revenue breakdown'!E3</f>
        <v>2.4280815601325115E-2</v>
      </c>
      <c r="I66" s="114">
        <f>I63/'Revenue breakdown'!F3</f>
        <v>1.571209728526685E-2</v>
      </c>
      <c r="J66" s="148">
        <f>AVERAGE(E66:I66)</f>
        <v>1.674000052415844E-2</v>
      </c>
      <c r="K66" s="148">
        <f t="shared" ref="K66:O66" si="16">AVERAGE(F66:J66)</f>
        <v>1.4822224974319214E-2</v>
      </c>
      <c r="L66" s="148">
        <f t="shared" si="16"/>
        <v>1.4506356682389055E-2</v>
      </c>
      <c r="M66" s="148">
        <f t="shared" si="16"/>
        <v>1.7212299013491736E-2</v>
      </c>
      <c r="N66" s="148">
        <f t="shared" si="16"/>
        <v>1.5798595695925059E-2</v>
      </c>
      <c r="O66" s="148">
        <f t="shared" si="16"/>
        <v>1.58158953780567E-2</v>
      </c>
    </row>
    <row r="67" spans="1:15" ht="16" thickBot="1" x14ac:dyDescent="0.25">
      <c r="A67" s="402" t="s">
        <v>334</v>
      </c>
      <c r="B67" s="403"/>
      <c r="C67" s="14" t="s">
        <v>72</v>
      </c>
      <c r="D67" s="14" t="s">
        <v>72</v>
      </c>
      <c r="E67" s="14" t="s">
        <v>72</v>
      </c>
      <c r="F67" s="14" t="s">
        <v>72</v>
      </c>
      <c r="G67" s="14" t="s">
        <v>72</v>
      </c>
      <c r="H67" s="14" t="s">
        <v>72</v>
      </c>
      <c r="I67" s="14" t="s">
        <v>72</v>
      </c>
      <c r="J67" s="12"/>
      <c r="K67" s="12"/>
      <c r="L67" s="12"/>
      <c r="M67" s="12"/>
      <c r="N67" s="12"/>
      <c r="O67" s="12"/>
    </row>
    <row r="68" spans="1:15" ht="16" thickBot="1" x14ac:dyDescent="0.25">
      <c r="A68" s="402" t="s">
        <v>335</v>
      </c>
      <c r="B68" s="403"/>
      <c r="C68" s="14" t="s">
        <v>72</v>
      </c>
      <c r="D68" s="14" t="s">
        <v>72</v>
      </c>
      <c r="E68" s="14" t="s">
        <v>72</v>
      </c>
      <c r="F68" s="14" t="s">
        <v>72</v>
      </c>
      <c r="G68" s="14" t="s">
        <v>72</v>
      </c>
      <c r="H68" s="14" t="s">
        <v>72</v>
      </c>
      <c r="I68" s="14" t="s">
        <v>72</v>
      </c>
      <c r="J68" s="14"/>
      <c r="K68" s="14"/>
      <c r="L68" s="14"/>
      <c r="M68" s="14"/>
      <c r="N68" s="14"/>
      <c r="O68" s="14"/>
    </row>
    <row r="69" spans="1:15" ht="16" thickBot="1" x14ac:dyDescent="0.25">
      <c r="A69" s="402" t="s">
        <v>336</v>
      </c>
      <c r="B69" s="403"/>
      <c r="C69" s="14" t="s">
        <v>72</v>
      </c>
      <c r="D69" s="14" t="s">
        <v>72</v>
      </c>
      <c r="E69" s="14" t="s">
        <v>72</v>
      </c>
      <c r="F69" s="14" t="s">
        <v>72</v>
      </c>
      <c r="G69" s="14" t="s">
        <v>72</v>
      </c>
      <c r="H69" s="14" t="s">
        <v>72</v>
      </c>
      <c r="I69" s="14" t="s">
        <v>72</v>
      </c>
      <c r="J69" s="16"/>
      <c r="K69" s="16"/>
      <c r="L69" s="16"/>
      <c r="M69" s="16"/>
      <c r="N69" s="16"/>
      <c r="O69" s="16"/>
    </row>
    <row r="70" spans="1:15" ht="16" thickBot="1" x14ac:dyDescent="0.25">
      <c r="A70" s="402" t="s">
        <v>337</v>
      </c>
      <c r="B70" s="403"/>
      <c r="C70" s="14" t="s">
        <v>72</v>
      </c>
      <c r="D70" s="14" t="s">
        <v>72</v>
      </c>
      <c r="E70" s="14" t="s">
        <v>72</v>
      </c>
      <c r="F70" s="14" t="s">
        <v>72</v>
      </c>
      <c r="G70" s="14" t="s">
        <v>72</v>
      </c>
      <c r="H70" s="14" t="s">
        <v>72</v>
      </c>
      <c r="I70" s="14" t="s">
        <v>72</v>
      </c>
      <c r="J70" s="18"/>
      <c r="K70" s="18"/>
      <c r="L70" s="18"/>
      <c r="M70" s="18"/>
      <c r="N70" s="18"/>
      <c r="O70" s="18"/>
    </row>
    <row r="71" spans="1:15" ht="16" thickBot="1" x14ac:dyDescent="0.25">
      <c r="A71" s="402" t="s">
        <v>338</v>
      </c>
      <c r="B71" s="403"/>
      <c r="C71" s="14" t="s">
        <v>72</v>
      </c>
      <c r="D71" s="14" t="s">
        <v>72</v>
      </c>
      <c r="E71" s="14" t="s">
        <v>72</v>
      </c>
      <c r="F71" s="14" t="s">
        <v>72</v>
      </c>
      <c r="G71" s="14" t="s">
        <v>72</v>
      </c>
      <c r="H71" s="14" t="s">
        <v>72</v>
      </c>
      <c r="I71" s="14" t="s">
        <v>72</v>
      </c>
      <c r="J71" s="16"/>
      <c r="K71" s="16"/>
      <c r="L71" s="16"/>
      <c r="M71" s="16"/>
      <c r="N71" s="16"/>
      <c r="O71" s="16"/>
    </row>
    <row r="72" spans="1:15" ht="16" thickBot="1" x14ac:dyDescent="0.25">
      <c r="A72" s="407" t="s">
        <v>332</v>
      </c>
      <c r="B72" s="408"/>
      <c r="C72" s="16">
        <v>29815</v>
      </c>
      <c r="D72" s="16">
        <v>28835</v>
      </c>
      <c r="E72" s="16">
        <v>31987</v>
      </c>
      <c r="F72" s="16">
        <v>5180</v>
      </c>
      <c r="G72" s="16">
        <v>14108</v>
      </c>
      <c r="H72" s="16">
        <v>7945</v>
      </c>
      <c r="I72" s="16">
        <v>11656</v>
      </c>
      <c r="J72" s="18"/>
      <c r="K72" s="18"/>
      <c r="L72" s="18"/>
      <c r="M72" s="18"/>
      <c r="N72" s="18"/>
      <c r="O72" s="18"/>
    </row>
    <row r="73" spans="1:15" ht="16" thickBot="1" x14ac:dyDescent="0.25">
      <c r="A73" s="409" t="s">
        <v>339</v>
      </c>
      <c r="B73" s="410"/>
      <c r="C73" s="18">
        <v>29815</v>
      </c>
      <c r="D73" s="18">
        <v>28835</v>
      </c>
      <c r="E73" s="18">
        <v>31987</v>
      </c>
      <c r="F73" s="18">
        <v>5180</v>
      </c>
      <c r="G73" s="18">
        <v>14108</v>
      </c>
      <c r="H73" s="18">
        <v>7945</v>
      </c>
      <c r="I73" s="18">
        <v>11656</v>
      </c>
      <c r="J73" s="18"/>
      <c r="K73" s="18"/>
      <c r="L73" s="18"/>
      <c r="M73" s="18"/>
      <c r="N73" s="18"/>
      <c r="O73" s="18"/>
    </row>
    <row r="74" spans="1:15" s="55" customFormat="1" ht="16" thickBot="1" x14ac:dyDescent="0.25">
      <c r="A74" s="411" t="s">
        <v>340</v>
      </c>
      <c r="B74" s="412"/>
      <c r="C74" s="54">
        <v>259383</v>
      </c>
      <c r="D74" s="54">
        <v>363074</v>
      </c>
      <c r="E74" s="54">
        <v>434775</v>
      </c>
      <c r="F74" s="54">
        <v>278003</v>
      </c>
      <c r="G74" s="54">
        <v>28427</v>
      </c>
      <c r="H74" s="54">
        <v>554140</v>
      </c>
      <c r="I74" s="54">
        <v>485623</v>
      </c>
      <c r="J74" s="54">
        <f>J76*'Revenue breakdown'!G3</f>
        <v>674057.52295950032</v>
      </c>
      <c r="K74" s="54">
        <f>K76*'Revenue breakdown'!H3</f>
        <v>634227.54966230062</v>
      </c>
      <c r="L74" s="54">
        <f>L76*'Revenue breakdown'!I3</f>
        <v>672161.15330542054</v>
      </c>
      <c r="M74" s="54">
        <f>M76*'Revenue breakdown'!J3</f>
        <v>855376.54530340084</v>
      </c>
      <c r="N74" s="54">
        <f>N76*'Revenue breakdown'!K3</f>
        <v>842557.03769265686</v>
      </c>
      <c r="O74" s="54">
        <f>O76*'Revenue breakdown'!L3</f>
        <v>918340.86300319387</v>
      </c>
    </row>
    <row r="75" spans="1:15" s="55" customFormat="1" ht="16" thickBot="1" x14ac:dyDescent="0.25">
      <c r="A75" s="57"/>
      <c r="B75" s="58"/>
      <c r="C75" s="54"/>
      <c r="D75" s="54"/>
      <c r="E75" s="113">
        <f>(E74-D74)/D74</f>
        <v>0.19748315770338828</v>
      </c>
      <c r="F75" s="113">
        <f>(F74-E74)/E74</f>
        <v>-0.36058191018342822</v>
      </c>
      <c r="G75" s="113">
        <f t="shared" ref="G75:I75" si="17">(G74-F74)/F74</f>
        <v>-0.89774570778013185</v>
      </c>
      <c r="H75" s="113">
        <f t="shared" si="17"/>
        <v>18.493439335842684</v>
      </c>
      <c r="I75" s="113">
        <f t="shared" si="17"/>
        <v>-0.12364564911394232</v>
      </c>
      <c r="J75" s="54"/>
      <c r="K75" s="54"/>
      <c r="L75" s="54"/>
      <c r="M75" s="54"/>
      <c r="N75" s="54"/>
      <c r="O75" s="54"/>
    </row>
    <row r="76" spans="1:15" s="55" customFormat="1" ht="16" thickBot="1" x14ac:dyDescent="0.25">
      <c r="A76" s="57"/>
      <c r="B76" s="145" t="s">
        <v>680</v>
      </c>
      <c r="C76" s="54"/>
      <c r="D76" s="54"/>
      <c r="E76" s="113">
        <f>E74/'Revenue breakdown'!B3</f>
        <v>2.8419759405190172E-2</v>
      </c>
      <c r="F76" s="113">
        <f>F74/'Revenue breakdown'!C3</f>
        <v>1.6712977547138505E-2</v>
      </c>
      <c r="G76" s="113">
        <f>G74/'Revenue breakdown'!D3</f>
        <v>1.9388985389338562E-3</v>
      </c>
      <c r="H76" s="113">
        <f>H74/'Revenue breakdown'!E3</f>
        <v>2.4633961356945674E-2</v>
      </c>
      <c r="I76" s="113">
        <f>I74/'Revenue breakdown'!F3</f>
        <v>1.6098461963599112E-2</v>
      </c>
      <c r="J76" s="115">
        <f>AVERAGE(E76:I76)</f>
        <v>1.7560811762361465E-2</v>
      </c>
      <c r="K76" s="115">
        <f t="shared" ref="K76:O77" si="18">AVERAGE(F76:J76)</f>
        <v>1.5389022233795721E-2</v>
      </c>
      <c r="L76" s="115">
        <f t="shared" si="18"/>
        <v>1.5124231171127165E-2</v>
      </c>
      <c r="M76" s="115">
        <f t="shared" si="18"/>
        <v>1.7761297697565827E-2</v>
      </c>
      <c r="N76" s="115">
        <f t="shared" si="18"/>
        <v>1.638676496568986E-2</v>
      </c>
      <c r="O76" s="115">
        <f t="shared" si="18"/>
        <v>1.6444425566108006E-2</v>
      </c>
    </row>
    <row r="77" spans="1:15" ht="16" thickBot="1" x14ac:dyDescent="0.25">
      <c r="A77" s="402" t="s">
        <v>341</v>
      </c>
      <c r="B77" s="403"/>
      <c r="C77" s="14">
        <v>51877</v>
      </c>
      <c r="D77" s="14">
        <v>73196</v>
      </c>
      <c r="E77" s="14">
        <v>87028</v>
      </c>
      <c r="F77" s="14">
        <v>74155</v>
      </c>
      <c r="G77" s="14">
        <v>18211</v>
      </c>
      <c r="H77" s="14">
        <v>110242</v>
      </c>
      <c r="I77" s="14">
        <v>87549</v>
      </c>
      <c r="J77" s="16">
        <f>AVERAGE(E77:I77)</f>
        <v>75437</v>
      </c>
      <c r="K77" s="16">
        <f t="shared" si="18"/>
        <v>73118.8</v>
      </c>
      <c r="L77" s="16">
        <f t="shared" si="18"/>
        <v>72911.56</v>
      </c>
      <c r="M77" s="16">
        <f t="shared" si="18"/>
        <v>83851.671999999991</v>
      </c>
      <c r="N77" s="16">
        <f t="shared" si="18"/>
        <v>78573.606400000004</v>
      </c>
      <c r="O77" s="16">
        <f t="shared" si="18"/>
        <v>76778.527679999999</v>
      </c>
    </row>
    <row r="78" spans="1:15" s="55" customFormat="1" ht="16" thickBot="1" x14ac:dyDescent="0.25">
      <c r="A78" s="411" t="s">
        <v>342</v>
      </c>
      <c r="B78" s="412"/>
      <c r="C78" s="54">
        <v>207506</v>
      </c>
      <c r="D78" s="54">
        <v>289878</v>
      </c>
      <c r="E78" s="54">
        <v>347747</v>
      </c>
      <c r="F78" s="54">
        <v>203847</v>
      </c>
      <c r="G78" s="54">
        <v>10217</v>
      </c>
      <c r="H78" s="54">
        <v>443898</v>
      </c>
      <c r="I78" s="54">
        <v>398074</v>
      </c>
      <c r="J78" s="54">
        <f>J74-J77</f>
        <v>598620.52295950032</v>
      </c>
      <c r="K78" s="54">
        <f t="shared" ref="K78:O78" si="19">K74-K77</f>
        <v>561108.74966230057</v>
      </c>
      <c r="L78" s="54">
        <f t="shared" si="19"/>
        <v>599249.5933054206</v>
      </c>
      <c r="M78" s="54">
        <f t="shared" si="19"/>
        <v>771524.87330340082</v>
      </c>
      <c r="N78" s="54">
        <f t="shared" si="19"/>
        <v>763983.43129265681</v>
      </c>
      <c r="O78" s="54">
        <f t="shared" si="19"/>
        <v>841562.33532319381</v>
      </c>
    </row>
    <row r="79" spans="1:15" ht="16" thickBot="1" x14ac:dyDescent="0.25">
      <c r="A79" s="402" t="s">
        <v>172</v>
      </c>
      <c r="B79" s="403"/>
      <c r="C79" s="14" t="s">
        <v>72</v>
      </c>
      <c r="D79" s="14" t="s">
        <v>72</v>
      </c>
      <c r="E79" s="14">
        <v>16</v>
      </c>
      <c r="F79" s="14">
        <v>9168</v>
      </c>
      <c r="G79" s="14">
        <v>14502</v>
      </c>
      <c r="H79" s="14">
        <v>-166</v>
      </c>
      <c r="I79" s="14">
        <v>-7713</v>
      </c>
      <c r="J79" s="18"/>
      <c r="K79" s="18"/>
      <c r="L79" s="18"/>
      <c r="M79" s="18"/>
      <c r="N79" s="18"/>
      <c r="O79" s="18"/>
    </row>
    <row r="80" spans="1:15" ht="16" thickBot="1" x14ac:dyDescent="0.25">
      <c r="A80" s="402" t="s">
        <v>343</v>
      </c>
      <c r="B80" s="403"/>
      <c r="C80" s="14" t="s">
        <v>72</v>
      </c>
      <c r="D80" s="14" t="s">
        <v>72</v>
      </c>
      <c r="E80" s="14" t="s">
        <v>72</v>
      </c>
      <c r="F80" s="14" t="s">
        <v>72</v>
      </c>
      <c r="G80" s="14" t="s">
        <v>72</v>
      </c>
      <c r="H80" s="14" t="s">
        <v>72</v>
      </c>
      <c r="I80" s="14" t="s">
        <v>72</v>
      </c>
      <c r="J80" s="18"/>
      <c r="K80" s="18"/>
      <c r="L80" s="18"/>
      <c r="M80" s="18"/>
      <c r="N80" s="18"/>
      <c r="O80" s="18"/>
    </row>
    <row r="81" spans="1:16" ht="16" thickBot="1" x14ac:dyDescent="0.25">
      <c r="A81" s="402" t="s">
        <v>344</v>
      </c>
      <c r="B81" s="403"/>
      <c r="C81" s="14" t="s">
        <v>72</v>
      </c>
      <c r="D81" s="14" t="s">
        <v>72</v>
      </c>
      <c r="E81" s="14" t="s">
        <v>72</v>
      </c>
      <c r="F81" s="14" t="s">
        <v>72</v>
      </c>
      <c r="G81" s="14" t="s">
        <v>72</v>
      </c>
      <c r="H81" s="14" t="s">
        <v>72</v>
      </c>
      <c r="I81" s="14" t="s">
        <v>72</v>
      </c>
      <c r="J81" s="14"/>
      <c r="K81" s="14"/>
      <c r="L81" s="14"/>
      <c r="M81" s="14"/>
      <c r="N81" s="14"/>
      <c r="O81" s="14"/>
    </row>
    <row r="82" spans="1:16" ht="16" thickBot="1" x14ac:dyDescent="0.25">
      <c r="A82" s="402" t="s">
        <v>345</v>
      </c>
      <c r="B82" s="403"/>
      <c r="C82" s="14">
        <v>207506</v>
      </c>
      <c r="D82" s="14">
        <v>289878</v>
      </c>
      <c r="E82" s="14">
        <v>347763</v>
      </c>
      <c r="F82" s="14">
        <v>213015</v>
      </c>
      <c r="G82" s="14">
        <v>24719</v>
      </c>
      <c r="H82" s="14">
        <v>443732</v>
      </c>
      <c r="I82" s="14">
        <v>390361</v>
      </c>
      <c r="J82" s="19"/>
      <c r="K82" s="19"/>
      <c r="L82" s="19"/>
      <c r="M82" s="19"/>
      <c r="N82" s="19"/>
      <c r="O82" s="19"/>
    </row>
    <row r="83" spans="1:16" ht="16" thickBot="1" x14ac:dyDescent="0.25">
      <c r="A83" s="413"/>
      <c r="B83" s="413"/>
      <c r="C83" s="19"/>
      <c r="D83" s="19"/>
      <c r="E83" s="19"/>
      <c r="F83" s="19"/>
      <c r="G83" s="19"/>
      <c r="H83" s="19"/>
      <c r="I83" s="19"/>
      <c r="J83" s="14"/>
      <c r="K83" s="14"/>
      <c r="L83" s="14"/>
      <c r="M83" s="14"/>
      <c r="N83" s="14"/>
      <c r="O83" s="14"/>
    </row>
    <row r="84" spans="1:16" ht="16" thickBot="1" x14ac:dyDescent="0.25">
      <c r="A84" s="402" t="s">
        <v>346</v>
      </c>
      <c r="B84" s="403"/>
      <c r="C84" s="14" t="s">
        <v>72</v>
      </c>
      <c r="D84" s="14" t="s">
        <v>72</v>
      </c>
      <c r="E84" s="14" t="s">
        <v>72</v>
      </c>
      <c r="F84" s="14" t="s">
        <v>72</v>
      </c>
      <c r="G84" s="14" t="s">
        <v>72</v>
      </c>
      <c r="H84" s="14" t="s">
        <v>72</v>
      </c>
      <c r="I84" s="14" t="s">
        <v>72</v>
      </c>
      <c r="J84" s="14"/>
      <c r="K84" s="14"/>
      <c r="L84" s="14"/>
      <c r="M84" s="14"/>
      <c r="N84" s="14"/>
      <c r="O84" s="14"/>
    </row>
    <row r="85" spans="1:16" ht="16" thickBot="1" x14ac:dyDescent="0.25">
      <c r="A85" s="402" t="s">
        <v>347</v>
      </c>
      <c r="B85" s="403"/>
      <c r="C85" s="14" t="s">
        <v>72</v>
      </c>
      <c r="D85" s="14" t="s">
        <v>72</v>
      </c>
      <c r="E85" s="14" t="s">
        <v>72</v>
      </c>
      <c r="F85" s="14" t="s">
        <v>72</v>
      </c>
      <c r="G85" s="14" t="s">
        <v>72</v>
      </c>
      <c r="H85" s="14" t="s">
        <v>72</v>
      </c>
      <c r="I85" s="14" t="s">
        <v>72</v>
      </c>
      <c r="J85" s="19"/>
      <c r="K85" s="19"/>
      <c r="L85" s="19"/>
      <c r="M85" s="19"/>
      <c r="N85" s="19"/>
      <c r="O85" s="19"/>
    </row>
    <row r="86" spans="1:16" ht="16" thickBot="1" x14ac:dyDescent="0.25">
      <c r="A86" s="402" t="s">
        <v>348</v>
      </c>
      <c r="B86" s="403"/>
      <c r="C86" s="14" t="s">
        <v>72</v>
      </c>
      <c r="D86" s="14" t="s">
        <v>72</v>
      </c>
      <c r="E86" s="14" t="s">
        <v>72</v>
      </c>
      <c r="F86" s="14" t="s">
        <v>72</v>
      </c>
      <c r="G86" s="14" t="s">
        <v>72</v>
      </c>
      <c r="H86" s="14" t="s">
        <v>72</v>
      </c>
      <c r="I86" s="14" t="s">
        <v>72</v>
      </c>
      <c r="J86" s="14"/>
      <c r="K86" s="14"/>
      <c r="L86" s="14"/>
      <c r="M86" s="14"/>
      <c r="N86" s="14"/>
      <c r="O86" s="14"/>
    </row>
    <row r="87" spans="1:16" ht="16" thickBot="1" x14ac:dyDescent="0.25">
      <c r="A87" s="402" t="s">
        <v>349</v>
      </c>
      <c r="B87" s="403"/>
      <c r="C87" s="14" t="s">
        <v>72</v>
      </c>
      <c r="D87" s="14" t="s">
        <v>72</v>
      </c>
      <c r="E87" s="14" t="s">
        <v>72</v>
      </c>
      <c r="F87" s="14" t="s">
        <v>72</v>
      </c>
      <c r="G87" s="14" t="s">
        <v>72</v>
      </c>
      <c r="H87" s="14" t="s">
        <v>72</v>
      </c>
      <c r="I87" s="14" t="s">
        <v>72</v>
      </c>
      <c r="J87" s="14"/>
      <c r="K87" s="14"/>
      <c r="L87" s="14"/>
      <c r="M87" s="14"/>
      <c r="N87" s="14"/>
      <c r="O87" s="14"/>
    </row>
    <row r="88" spans="1:16" ht="16" thickBot="1" x14ac:dyDescent="0.25">
      <c r="A88" s="402" t="s">
        <v>350</v>
      </c>
      <c r="B88" s="403"/>
      <c r="C88" s="14" t="s">
        <v>72</v>
      </c>
      <c r="D88" s="14" t="s">
        <v>72</v>
      </c>
      <c r="E88" s="14"/>
      <c r="F88" s="14" t="s">
        <v>72</v>
      </c>
      <c r="G88" s="14" t="s">
        <v>72</v>
      </c>
      <c r="H88" s="14" t="s">
        <v>72</v>
      </c>
      <c r="I88" s="14" t="s">
        <v>72</v>
      </c>
      <c r="J88" s="14"/>
      <c r="K88" s="14"/>
      <c r="L88" s="14"/>
      <c r="M88" s="14"/>
      <c r="N88" s="14"/>
      <c r="O88" s="14"/>
    </row>
    <row r="89" spans="1:16" s="55" customFormat="1" ht="16" thickBot="1" x14ac:dyDescent="0.25">
      <c r="A89" s="411" t="s">
        <v>351</v>
      </c>
      <c r="B89" s="412"/>
      <c r="C89" s="54">
        <v>207506</v>
      </c>
      <c r="D89" s="54">
        <v>289878</v>
      </c>
      <c r="E89" s="54">
        <v>347763</v>
      </c>
      <c r="F89" s="54">
        <v>213015</v>
      </c>
      <c r="G89" s="54">
        <v>24719</v>
      </c>
      <c r="H89" s="54">
        <v>443732</v>
      </c>
      <c r="I89" s="54">
        <v>390361</v>
      </c>
      <c r="J89" s="54">
        <f>J94*'Revenue breakdown'!G3</f>
        <v>536537.70588874537</v>
      </c>
      <c r="K89" s="54">
        <f>K94*'Revenue breakdown'!H3</f>
        <v>541060.85031526524</v>
      </c>
      <c r="L89" s="54">
        <f>L94*'Revenue breakdown'!I3</f>
        <v>589088.44823592866</v>
      </c>
      <c r="M89" s="54">
        <f>M94*'Revenue breakdown'!J3</f>
        <v>762226.13947295723</v>
      </c>
      <c r="N89" s="54">
        <f>N94*'Revenue breakdown'!K3</f>
        <v>758963.00062601478</v>
      </c>
      <c r="O89" s="54">
        <f>O94*'Revenue breakdown'!L3</f>
        <v>860684.70420879533</v>
      </c>
      <c r="P89" s="54"/>
    </row>
    <row r="90" spans="1:16" s="55" customFormat="1" ht="16" thickBot="1" x14ac:dyDescent="0.25">
      <c r="A90" s="57"/>
      <c r="B90" s="130" t="s">
        <v>632</v>
      </c>
      <c r="C90" s="54"/>
      <c r="D90" s="121"/>
      <c r="E90" s="131">
        <f>E89*'Revenue breakdown'!B8</f>
        <v>339920.43183817063</v>
      </c>
      <c r="F90" s="131">
        <f>F89*'Revenue breakdown'!C8</f>
        <v>206473.88448932185</v>
      </c>
      <c r="G90" s="131">
        <f>G89*'Revenue breakdown'!D8</f>
        <v>22719.938714859552</v>
      </c>
      <c r="H90" s="131">
        <f>H89*'Revenue breakdown'!E8</f>
        <v>366073.77473363926</v>
      </c>
      <c r="I90" s="131">
        <f>I89*'Revenue breakdown'!F8</f>
        <v>267724.10178231302</v>
      </c>
      <c r="J90" s="54">
        <f>I90*(1+J91)</f>
        <v>271438.92271212686</v>
      </c>
      <c r="K90" s="54">
        <f t="shared" ref="K90:O90" si="20">J90*(1+K91)</f>
        <v>274752.31965792167</v>
      </c>
      <c r="L90" s="54">
        <f t="shared" si="20"/>
        <v>278073.23378725781</v>
      </c>
      <c r="M90" s="54">
        <f t="shared" si="20"/>
        <v>282012.73263148684</v>
      </c>
      <c r="N90" s="54">
        <f t="shared" si="20"/>
        <v>285694.51729690371</v>
      </c>
      <c r="O90" s="54">
        <f t="shared" si="20"/>
        <v>289430.93259617838</v>
      </c>
    </row>
    <row r="91" spans="1:16" s="55" customFormat="1" ht="16" thickBot="1" x14ac:dyDescent="0.25">
      <c r="A91" s="57"/>
      <c r="B91" s="130" t="s">
        <v>624</v>
      </c>
      <c r="C91" s="54"/>
      <c r="D91" s="113"/>
      <c r="E91" s="133">
        <f>E90/'Revenue breakdown'!B6</f>
        <v>2.2219407733665167E-2</v>
      </c>
      <c r="F91" s="133">
        <f>F90/'Revenue breakdown'!C6</f>
        <v>1.2806030554359875E-2</v>
      </c>
      <c r="G91" s="133">
        <f>G90/'Revenue breakdown'!D6</f>
        <v>1.6859898330427406E-3</v>
      </c>
      <c r="H91" s="133">
        <f>H90/'Revenue breakdown'!E6</f>
        <v>1.9725839933663367E-2</v>
      </c>
      <c r="I91" s="151">
        <f>I90/'Revenue breakdown'!F6</f>
        <v>1.2940514989142837E-2</v>
      </c>
      <c r="J91" s="115">
        <f>AVERAGE(E91:I91)</f>
        <v>1.3875556608774797E-2</v>
      </c>
      <c r="K91" s="115">
        <f t="shared" ref="K91:O91" si="21">AVERAGE(F91:J91)</f>
        <v>1.2206786383796724E-2</v>
      </c>
      <c r="L91" s="115">
        <f t="shared" si="21"/>
        <v>1.2086937549684092E-2</v>
      </c>
      <c r="M91" s="115">
        <f t="shared" si="21"/>
        <v>1.4167127093012363E-2</v>
      </c>
      <c r="N91" s="115">
        <f t="shared" si="21"/>
        <v>1.3055384524882164E-2</v>
      </c>
      <c r="O91" s="115">
        <f t="shared" si="21"/>
        <v>1.307835843203003E-2</v>
      </c>
    </row>
    <row r="92" spans="1:16" s="55" customFormat="1" ht="16" thickBot="1" x14ac:dyDescent="0.25">
      <c r="A92" s="57"/>
      <c r="B92" s="130" t="s">
        <v>636</v>
      </c>
      <c r="C92" s="54"/>
      <c r="D92" s="54"/>
      <c r="E92" s="54">
        <f>E89-E90</f>
        <v>7842.5681618293747</v>
      </c>
      <c r="F92" s="54">
        <f t="shared" ref="F92:I92" si="22">F89-F90</f>
        <v>6541.1155106781516</v>
      </c>
      <c r="G92" s="54">
        <f t="shared" si="22"/>
        <v>1999.0612851404476</v>
      </c>
      <c r="H92" s="54">
        <f t="shared" si="22"/>
        <v>77658.225266360736</v>
      </c>
      <c r="I92" s="54">
        <f t="shared" si="22"/>
        <v>122636.89821768698</v>
      </c>
      <c r="J92" s="54">
        <f>I92*(1+J93)</f>
        <v>124342.11100077012</v>
      </c>
      <c r="K92" s="54">
        <f t="shared" ref="K92:O92" si="23">J92*(1+K93)</f>
        <v>125851.50762842975</v>
      </c>
      <c r="L92" s="54">
        <f t="shared" si="23"/>
        <v>127362.43849174271</v>
      </c>
      <c r="M92" s="54">
        <f t="shared" si="23"/>
        <v>129154.56257480007</v>
      </c>
      <c r="N92" s="54">
        <f t="shared" si="23"/>
        <v>130830.99982975124</v>
      </c>
      <c r="O92" s="54">
        <f t="shared" si="23"/>
        <v>132534.43078776979</v>
      </c>
    </row>
    <row r="93" spans="1:16" s="55" customFormat="1" ht="16" thickBot="1" x14ac:dyDescent="0.25">
      <c r="A93" s="57"/>
      <c r="B93" s="130" t="s">
        <v>624</v>
      </c>
      <c r="C93" s="54"/>
      <c r="D93" s="54"/>
      <c r="E93" s="113">
        <f>E92/'Revenue breakdown'!B12</f>
        <v>2.2732081628490941E-2</v>
      </c>
      <c r="F93" s="113">
        <f>F92/'Revenue breakdown'!C12</f>
        <v>1.2806055625731772E-2</v>
      </c>
      <c r="G93" s="113">
        <f>G92/'Revenue breakdown'!D12</f>
        <v>1.6786984692657683E-3</v>
      </c>
      <c r="H93" s="113">
        <f>H92/'Revenue breakdown'!E12</f>
        <v>1.9525912596125891E-2</v>
      </c>
      <c r="I93" s="115">
        <f>I92/'Revenue breakdown'!F12</f>
        <v>1.2780079143630399E-2</v>
      </c>
      <c r="J93" s="115">
        <f t="shared" ref="J93:O93" si="24">AVERAGE(E93:I93)</f>
        <v>1.3904565492648954E-2</v>
      </c>
      <c r="K93" s="115">
        <f t="shared" si="24"/>
        <v>1.2139062265480557E-2</v>
      </c>
      <c r="L93" s="115">
        <f t="shared" si="24"/>
        <v>1.2005663593430315E-2</v>
      </c>
      <c r="M93" s="115">
        <f t="shared" si="24"/>
        <v>1.4071056618263226E-2</v>
      </c>
      <c r="N93" s="115">
        <f t="shared" si="24"/>
        <v>1.298008542269069E-2</v>
      </c>
      <c r="O93" s="115">
        <f t="shared" si="24"/>
        <v>1.3020086678502745E-2</v>
      </c>
    </row>
    <row r="94" spans="1:16" s="55" customFormat="1" ht="16" thickBot="1" x14ac:dyDescent="0.25">
      <c r="A94" s="57"/>
      <c r="B94" s="58" t="s">
        <v>647</v>
      </c>
      <c r="C94" s="54"/>
      <c r="D94" s="54"/>
      <c r="E94" s="115">
        <f>E89/'Revenue breakdown'!B3</f>
        <v>2.2732081628490945E-2</v>
      </c>
      <c r="F94" s="115">
        <f>F89/'Revenue breakdown'!C3</f>
        <v>1.2806030554359875E-2</v>
      </c>
      <c r="G94" s="115">
        <f>G89/'Revenue breakdown'!D3</f>
        <v>1.6859898330427406E-3</v>
      </c>
      <c r="H94" s="115">
        <f>H89/'Revenue breakdown'!E3</f>
        <v>1.9725839933663367E-2</v>
      </c>
      <c r="I94" s="115">
        <f>I89/'Revenue breakdown'!F3</f>
        <v>1.2940514989142837E-2</v>
      </c>
      <c r="J94" s="115">
        <f>AVERAGE(E94:I94)</f>
        <v>1.3978091387739953E-2</v>
      </c>
      <c r="K94" s="115">
        <f>AVERAGE(F94:J94)*(100%+'Revenue breakdown'!H4)</f>
        <v>1.3128407083185667E-2</v>
      </c>
      <c r="L94" s="115">
        <f>AVERAGE(G94:K94)*(100%+'Revenue breakdown'!I4)</f>
        <v>1.3255020507429426E-2</v>
      </c>
      <c r="M94" s="115">
        <f>AVERAGE(H94:L94)*(100%+'Revenue breakdown'!J4)</f>
        <v>1.5827094453757285E-2</v>
      </c>
      <c r="N94" s="115">
        <f>AVERAGE(I94:M94)*(100%+'Revenue breakdown'!K4)</f>
        <v>1.476095712519573E-2</v>
      </c>
      <c r="O94" s="115">
        <f>AVERAGE(J94:N94)*(100%+'Revenue breakdown'!L4)</f>
        <v>1.5411995833403308E-2</v>
      </c>
    </row>
    <row r="95" spans="1:16" s="55" customFormat="1" ht="16" thickBot="1" x14ac:dyDescent="0.25">
      <c r="A95" s="57"/>
      <c r="B95" s="58" t="s">
        <v>598</v>
      </c>
      <c r="C95" s="54"/>
      <c r="D95" s="54"/>
      <c r="E95" s="113">
        <f>(E89-D89)/D89</f>
        <v>0.19968745472233146</v>
      </c>
      <c r="F95" s="113">
        <f>(F89-E89)/E89</f>
        <v>-0.38747077751227127</v>
      </c>
      <c r="G95" s="113">
        <f t="shared" ref="G95:I95" si="25">(G89-F89)/F89</f>
        <v>-0.88395652888294252</v>
      </c>
      <c r="H95" s="113">
        <f t="shared" si="25"/>
        <v>16.951049799749182</v>
      </c>
      <c r="I95" s="113">
        <f t="shared" si="25"/>
        <v>-0.12027755492053763</v>
      </c>
      <c r="J95" s="54"/>
      <c r="K95" s="54"/>
      <c r="L95" s="54"/>
      <c r="M95" s="54"/>
      <c r="N95" s="54"/>
      <c r="O95" s="54"/>
    </row>
    <row r="96" spans="1:16" ht="16" thickBot="1" x14ac:dyDescent="0.25">
      <c r="A96" s="402" t="s">
        <v>352</v>
      </c>
      <c r="B96" s="403"/>
      <c r="C96" s="14" t="s">
        <v>72</v>
      </c>
      <c r="D96" s="14" t="s">
        <v>72</v>
      </c>
      <c r="E96" s="14" t="s">
        <v>72</v>
      </c>
      <c r="F96" s="14" t="s">
        <v>72</v>
      </c>
      <c r="G96" s="14" t="s">
        <v>72</v>
      </c>
      <c r="H96" s="14" t="s">
        <v>72</v>
      </c>
      <c r="I96" s="14" t="s">
        <v>72</v>
      </c>
      <c r="J96" s="14"/>
      <c r="K96" s="14"/>
      <c r="L96" s="14"/>
      <c r="M96" s="14"/>
      <c r="N96" s="14"/>
      <c r="O96" s="14"/>
    </row>
    <row r="97" spans="1:15" ht="16" thickBot="1" x14ac:dyDescent="0.25">
      <c r="A97" s="402" t="s">
        <v>353</v>
      </c>
      <c r="B97" s="403"/>
      <c r="C97" s="14" t="s">
        <v>72</v>
      </c>
      <c r="D97" s="14" t="s">
        <v>72</v>
      </c>
      <c r="E97" s="14" t="s">
        <v>72</v>
      </c>
      <c r="F97" s="14" t="s">
        <v>72</v>
      </c>
      <c r="G97" s="14" t="s">
        <v>72</v>
      </c>
      <c r="H97" s="14" t="s">
        <v>72</v>
      </c>
      <c r="I97" s="14" t="s">
        <v>72</v>
      </c>
      <c r="J97" s="14"/>
      <c r="K97" s="14"/>
      <c r="L97" s="14"/>
      <c r="M97" s="14"/>
      <c r="N97" s="14"/>
      <c r="O97" s="14"/>
    </row>
    <row r="98" spans="1:15" ht="16" thickBot="1" x14ac:dyDescent="0.25">
      <c r="A98" s="402" t="s">
        <v>354</v>
      </c>
      <c r="B98" s="403"/>
      <c r="C98" s="14">
        <v>-6225</v>
      </c>
      <c r="D98" s="14">
        <v>-8704</v>
      </c>
      <c r="E98" s="14">
        <v>-10434</v>
      </c>
      <c r="F98" s="14">
        <v>-7371</v>
      </c>
      <c r="G98" s="14">
        <v>-3700</v>
      </c>
      <c r="H98" s="14" t="s">
        <v>72</v>
      </c>
      <c r="I98" s="14" t="s">
        <v>72</v>
      </c>
      <c r="J98" s="14"/>
      <c r="K98" s="14"/>
      <c r="L98" s="14"/>
      <c r="M98" s="14"/>
      <c r="N98" s="14"/>
      <c r="O98" s="14"/>
    </row>
    <row r="99" spans="1:15" ht="16" thickBot="1" x14ac:dyDescent="0.25">
      <c r="A99" s="402" t="s">
        <v>355</v>
      </c>
      <c r="B99" s="403"/>
      <c r="C99" s="14" t="s">
        <v>72</v>
      </c>
      <c r="D99" s="14" t="s">
        <v>72</v>
      </c>
      <c r="E99" s="14" t="s">
        <v>72</v>
      </c>
      <c r="F99" s="14" t="s">
        <v>72</v>
      </c>
      <c r="G99" s="14" t="s">
        <v>72</v>
      </c>
      <c r="H99" s="14" t="s">
        <v>72</v>
      </c>
      <c r="I99" s="14" t="s">
        <v>72</v>
      </c>
      <c r="J99" s="14"/>
      <c r="K99" s="14"/>
      <c r="L99" s="14"/>
      <c r="M99" s="14"/>
      <c r="N99" s="14"/>
      <c r="O99" s="14"/>
    </row>
    <row r="100" spans="1:15" ht="16" thickBot="1" x14ac:dyDescent="0.25">
      <c r="A100" s="402" t="s">
        <v>356</v>
      </c>
      <c r="B100" s="403"/>
      <c r="C100" s="14" t="s">
        <v>72</v>
      </c>
      <c r="D100" s="14" t="s">
        <v>72</v>
      </c>
      <c r="E100" s="14" t="s">
        <v>72</v>
      </c>
      <c r="F100" s="14" t="s">
        <v>72</v>
      </c>
      <c r="G100" s="14" t="s">
        <v>72</v>
      </c>
      <c r="H100" s="14" t="s">
        <v>72</v>
      </c>
      <c r="I100" s="14" t="s">
        <v>72</v>
      </c>
      <c r="J100" s="14"/>
      <c r="K100" s="14"/>
      <c r="L100" s="14"/>
      <c r="M100" s="14"/>
      <c r="N100" s="14"/>
      <c r="O100" s="14"/>
    </row>
    <row r="101" spans="1:15" ht="16" thickBot="1" x14ac:dyDescent="0.25">
      <c r="A101" s="402" t="s">
        <v>357</v>
      </c>
      <c r="B101" s="403"/>
      <c r="C101" s="14">
        <v>-6225</v>
      </c>
      <c r="D101" s="14">
        <v>-8704</v>
      </c>
      <c r="E101" s="14">
        <v>-10434</v>
      </c>
      <c r="F101" s="14">
        <v>-7371</v>
      </c>
      <c r="G101" s="14">
        <v>-3700</v>
      </c>
      <c r="H101" s="14" t="s">
        <v>72</v>
      </c>
      <c r="I101" s="14" t="s">
        <v>72</v>
      </c>
      <c r="J101" s="14"/>
      <c r="K101" s="14"/>
      <c r="L101" s="14"/>
      <c r="M101" s="14"/>
      <c r="N101" s="14"/>
      <c r="O101" s="14"/>
    </row>
    <row r="102" spans="1:15" ht="16" thickBot="1" x14ac:dyDescent="0.25">
      <c r="A102" s="402" t="s">
        <v>358</v>
      </c>
      <c r="B102" s="403"/>
      <c r="C102" s="14">
        <v>201281</v>
      </c>
      <c r="D102" s="14">
        <v>281174</v>
      </c>
      <c r="E102" s="14">
        <v>337329</v>
      </c>
      <c r="F102" s="14">
        <v>205644</v>
      </c>
      <c r="G102" s="14">
        <v>21018</v>
      </c>
      <c r="H102" s="14">
        <v>443732</v>
      </c>
      <c r="I102" s="14">
        <v>390361</v>
      </c>
      <c r="J102" s="14"/>
      <c r="K102" s="14"/>
      <c r="L102" s="14"/>
      <c r="M102" s="14"/>
      <c r="N102" s="14"/>
      <c r="O102" s="14"/>
    </row>
    <row r="103" spans="1:15" ht="16" thickBot="1" x14ac:dyDescent="0.25">
      <c r="A103" s="402" t="s">
        <v>359</v>
      </c>
      <c r="B103" s="403"/>
      <c r="C103" s="14">
        <v>201281</v>
      </c>
      <c r="D103" s="14">
        <v>281174</v>
      </c>
      <c r="E103" s="14">
        <v>337329</v>
      </c>
      <c r="F103" s="14">
        <v>205644</v>
      </c>
      <c r="G103" s="14">
        <v>21018</v>
      </c>
      <c r="H103" s="14">
        <v>443732</v>
      </c>
      <c r="I103" s="14">
        <v>390361</v>
      </c>
      <c r="J103" s="14"/>
      <c r="K103" s="14"/>
      <c r="L103" s="14"/>
      <c r="M103" s="14"/>
      <c r="N103" s="14"/>
      <c r="O103" s="14"/>
    </row>
    <row r="104" spans="1:15" ht="16" thickBot="1" x14ac:dyDescent="0.25">
      <c r="A104" s="402" t="s">
        <v>360</v>
      </c>
      <c r="B104" s="403"/>
      <c r="C104" s="14">
        <v>67</v>
      </c>
      <c r="D104" s="14">
        <v>135</v>
      </c>
      <c r="E104" s="14">
        <v>135</v>
      </c>
      <c r="F104" s="14">
        <v>136</v>
      </c>
      <c r="G104" s="14">
        <v>136</v>
      </c>
      <c r="H104" s="14">
        <v>136</v>
      </c>
      <c r="I104" s="14">
        <v>136</v>
      </c>
    </row>
    <row r="105" spans="1:15" ht="16" thickBot="1" x14ac:dyDescent="0.25">
      <c r="A105" s="402" t="s">
        <v>361</v>
      </c>
      <c r="B105" s="403"/>
      <c r="C105" s="22">
        <v>2985.09</v>
      </c>
      <c r="D105" s="22">
        <v>2084.66</v>
      </c>
      <c r="E105" s="22">
        <v>2500.73</v>
      </c>
      <c r="F105" s="22">
        <v>1514.45</v>
      </c>
      <c r="G105" s="22">
        <v>154.27000000000001</v>
      </c>
      <c r="H105" s="22">
        <v>3256.94</v>
      </c>
      <c r="I105" s="22">
        <v>2865.19</v>
      </c>
      <c r="J105" s="14"/>
      <c r="K105" s="14"/>
      <c r="L105" s="14"/>
      <c r="M105" s="14"/>
      <c r="N105" s="14"/>
      <c r="O105" s="14"/>
    </row>
    <row r="106" spans="1:15" ht="16" thickBot="1" x14ac:dyDescent="0.25">
      <c r="A106" s="402" t="s">
        <v>362</v>
      </c>
      <c r="B106" s="403"/>
      <c r="C106" s="22">
        <v>2985.09</v>
      </c>
      <c r="D106" s="22">
        <v>2084.66</v>
      </c>
      <c r="E106" s="22">
        <v>2500.73</v>
      </c>
      <c r="F106" s="22">
        <v>1514.45</v>
      </c>
      <c r="G106" s="22">
        <v>154.27000000000001</v>
      </c>
      <c r="H106" s="22">
        <v>3256.94</v>
      </c>
      <c r="I106" s="22">
        <v>2865.19</v>
      </c>
      <c r="J106" s="19"/>
      <c r="K106" s="19"/>
      <c r="L106" s="19"/>
      <c r="M106" s="19"/>
      <c r="N106" s="19"/>
      <c r="O106" s="19"/>
    </row>
    <row r="107" spans="1:15" ht="16" thickBot="1" x14ac:dyDescent="0.25">
      <c r="A107" s="402" t="s">
        <v>363</v>
      </c>
      <c r="B107" s="403"/>
      <c r="C107" s="14" t="s">
        <v>72</v>
      </c>
      <c r="D107" s="14" t="s">
        <v>72</v>
      </c>
      <c r="E107" s="14" t="s">
        <v>72</v>
      </c>
      <c r="F107" s="14" t="s">
        <v>72</v>
      </c>
      <c r="G107" s="14" t="s">
        <v>72</v>
      </c>
      <c r="H107" s="14" t="s">
        <v>72</v>
      </c>
      <c r="I107" s="14" t="s">
        <v>72</v>
      </c>
    </row>
    <row r="108" spans="1:15" ht="16" thickBot="1" x14ac:dyDescent="0.25">
      <c r="A108" s="402" t="s">
        <v>364</v>
      </c>
      <c r="B108" s="403"/>
      <c r="C108" s="14">
        <v>201281</v>
      </c>
      <c r="D108" s="14">
        <v>281174</v>
      </c>
      <c r="E108" s="14">
        <v>337329</v>
      </c>
      <c r="F108" s="14">
        <v>205644</v>
      </c>
      <c r="G108" s="14">
        <v>21018</v>
      </c>
      <c r="H108" s="14">
        <v>443732</v>
      </c>
      <c r="I108" s="14">
        <v>390361</v>
      </c>
    </row>
    <row r="109" spans="1:15" ht="16" thickBot="1" x14ac:dyDescent="0.25">
      <c r="A109" s="402" t="s">
        <v>365</v>
      </c>
      <c r="B109" s="403"/>
      <c r="C109" s="14">
        <v>67</v>
      </c>
      <c r="D109" s="14">
        <v>135</v>
      </c>
      <c r="E109" s="14">
        <v>135</v>
      </c>
      <c r="F109" s="14">
        <v>136</v>
      </c>
      <c r="G109" s="14">
        <v>136</v>
      </c>
      <c r="H109" s="14">
        <v>136</v>
      </c>
      <c r="I109" s="14">
        <v>136</v>
      </c>
    </row>
    <row r="110" spans="1:15" ht="16" thickBot="1" x14ac:dyDescent="0.25">
      <c r="A110" s="402" t="s">
        <v>366</v>
      </c>
      <c r="B110" s="403"/>
      <c r="C110" s="22">
        <v>2985.09</v>
      </c>
      <c r="D110" s="22">
        <v>2084.66</v>
      </c>
      <c r="E110" s="22">
        <v>2500.73</v>
      </c>
      <c r="F110" s="22">
        <v>1514.45</v>
      </c>
      <c r="G110" s="22">
        <v>154.27000000000001</v>
      </c>
      <c r="H110" s="22">
        <v>3256.94</v>
      </c>
      <c r="I110" s="22">
        <v>2865.19</v>
      </c>
    </row>
    <row r="111" spans="1:15" x14ac:dyDescent="0.2">
      <c r="A111" s="404" t="s">
        <v>367</v>
      </c>
      <c r="B111" s="405"/>
      <c r="C111" s="22">
        <v>2985.09</v>
      </c>
      <c r="D111" s="22">
        <v>2084.66</v>
      </c>
      <c r="E111" s="22">
        <v>2500.73</v>
      </c>
      <c r="F111" s="22">
        <v>1514.45</v>
      </c>
      <c r="G111" s="22">
        <v>154.27000000000001</v>
      </c>
      <c r="H111" s="22">
        <v>3256.94</v>
      </c>
      <c r="I111" s="22">
        <v>2865.19</v>
      </c>
    </row>
    <row r="112" spans="1:15" ht="12" customHeight="1" thickBot="1" x14ac:dyDescent="0.25">
      <c r="A112" s="406" t="s">
        <v>189</v>
      </c>
      <c r="B112" s="406"/>
      <c r="C112" s="12"/>
      <c r="D112" s="12"/>
      <c r="E112" s="12"/>
      <c r="F112" s="12"/>
      <c r="G112" s="12"/>
      <c r="H112" s="12"/>
      <c r="I112" s="12"/>
    </row>
    <row r="113" spans="1:9" ht="16" thickBot="1" x14ac:dyDescent="0.25">
      <c r="A113" s="402" t="s">
        <v>368</v>
      </c>
      <c r="B113" s="403"/>
      <c r="C113" s="22" t="s">
        <v>72</v>
      </c>
      <c r="D113" s="22" t="s">
        <v>72</v>
      </c>
      <c r="E113" s="22">
        <v>478.9</v>
      </c>
      <c r="F113" s="22">
        <v>550.73</v>
      </c>
      <c r="G113" s="22">
        <v>0</v>
      </c>
      <c r="H113" s="22">
        <v>413.05</v>
      </c>
      <c r="I113" s="22">
        <v>413.04</v>
      </c>
    </row>
    <row r="114" spans="1:9" ht="16" thickBot="1" x14ac:dyDescent="0.25">
      <c r="A114" s="402" t="s">
        <v>369</v>
      </c>
      <c r="B114" s="403"/>
      <c r="C114" s="22" t="s">
        <v>72</v>
      </c>
      <c r="D114" s="22" t="s">
        <v>72</v>
      </c>
      <c r="E114" s="22" t="s">
        <v>72</v>
      </c>
      <c r="F114" s="22" t="s">
        <v>72</v>
      </c>
      <c r="G114" s="22" t="s">
        <v>72</v>
      </c>
      <c r="H114" s="22" t="s">
        <v>72</v>
      </c>
      <c r="I114" s="22" t="s">
        <v>72</v>
      </c>
    </row>
    <row r="115" spans="1:9" ht="16" thickBot="1" x14ac:dyDescent="0.25">
      <c r="A115" s="402" t="s">
        <v>370</v>
      </c>
      <c r="B115" s="403"/>
      <c r="C115" s="22" t="s">
        <v>72</v>
      </c>
      <c r="D115" s="22" t="s">
        <v>72</v>
      </c>
      <c r="E115" s="22" t="s">
        <v>72</v>
      </c>
      <c r="F115" s="22" t="s">
        <v>72</v>
      </c>
      <c r="G115" s="22" t="s">
        <v>72</v>
      </c>
      <c r="H115" s="22" t="s">
        <v>72</v>
      </c>
      <c r="I115" s="22" t="s">
        <v>72</v>
      </c>
    </row>
    <row r="116" spans="1:9" ht="16" thickBot="1" x14ac:dyDescent="0.25">
      <c r="A116" s="402" t="s">
        <v>371</v>
      </c>
      <c r="B116" s="403"/>
      <c r="C116" s="22" t="s">
        <v>72</v>
      </c>
      <c r="D116" s="22" t="s">
        <v>72</v>
      </c>
      <c r="E116" s="22" t="s">
        <v>72</v>
      </c>
      <c r="F116" s="22" t="s">
        <v>72</v>
      </c>
      <c r="G116" s="22" t="s">
        <v>72</v>
      </c>
      <c r="H116" s="22" t="s">
        <v>72</v>
      </c>
      <c r="I116" s="22" t="s">
        <v>72</v>
      </c>
    </row>
    <row r="117" spans="1:9" ht="16" thickBot="1" x14ac:dyDescent="0.25">
      <c r="A117" s="402" t="s">
        <v>372</v>
      </c>
      <c r="B117" s="403"/>
      <c r="C117" s="22" t="s">
        <v>72</v>
      </c>
      <c r="D117" s="22" t="s">
        <v>72</v>
      </c>
      <c r="E117" s="22" t="s">
        <v>72</v>
      </c>
      <c r="F117" s="22" t="s">
        <v>72</v>
      </c>
      <c r="G117" s="22" t="s">
        <v>72</v>
      </c>
      <c r="H117" s="22" t="s">
        <v>72</v>
      </c>
      <c r="I117" s="22" t="s">
        <v>72</v>
      </c>
    </row>
    <row r="118" spans="1:9" ht="16" thickBot="1" x14ac:dyDescent="0.25">
      <c r="A118" s="402" t="s">
        <v>373</v>
      </c>
      <c r="B118" s="403"/>
      <c r="C118" s="22" t="s">
        <v>72</v>
      </c>
      <c r="D118" s="22" t="s">
        <v>72</v>
      </c>
      <c r="E118" s="22" t="s">
        <v>72</v>
      </c>
      <c r="F118" s="22" t="s">
        <v>72</v>
      </c>
      <c r="G118" s="22" t="s">
        <v>72</v>
      </c>
      <c r="H118" s="22" t="s">
        <v>72</v>
      </c>
      <c r="I118" s="22" t="s">
        <v>72</v>
      </c>
    </row>
    <row r="119" spans="1:9" ht="16" thickBot="1" x14ac:dyDescent="0.25">
      <c r="A119" s="402" t="s">
        <v>374</v>
      </c>
      <c r="B119" s="403"/>
      <c r="C119" s="22" t="s">
        <v>72</v>
      </c>
      <c r="D119" s="22" t="s">
        <v>72</v>
      </c>
      <c r="E119" s="22" t="s">
        <v>72</v>
      </c>
      <c r="F119" s="22" t="s">
        <v>72</v>
      </c>
      <c r="G119" s="22" t="s">
        <v>72</v>
      </c>
      <c r="H119" s="22" t="s">
        <v>72</v>
      </c>
      <c r="I119" s="22" t="s">
        <v>72</v>
      </c>
    </row>
    <row r="120" spans="1:9" ht="16" thickBot="1" x14ac:dyDescent="0.25">
      <c r="A120" s="402" t="s">
        <v>375</v>
      </c>
      <c r="B120" s="403"/>
      <c r="C120" s="22" t="s">
        <v>72</v>
      </c>
      <c r="D120" s="22" t="s">
        <v>72</v>
      </c>
      <c r="E120" s="22" t="s">
        <v>72</v>
      </c>
      <c r="F120" s="22" t="s">
        <v>72</v>
      </c>
      <c r="G120" s="22" t="s">
        <v>72</v>
      </c>
      <c r="H120" s="22" t="s">
        <v>72</v>
      </c>
      <c r="I120" s="22" t="s">
        <v>72</v>
      </c>
    </row>
    <row r="121" spans="1:9" ht="16" thickBot="1" x14ac:dyDescent="0.25">
      <c r="A121" s="402" t="s">
        <v>376</v>
      </c>
      <c r="B121" s="403"/>
      <c r="C121" s="14" t="s">
        <v>72</v>
      </c>
      <c r="D121" s="14" t="s">
        <v>72</v>
      </c>
      <c r="E121" s="14" t="s">
        <v>72</v>
      </c>
      <c r="F121" s="14" t="s">
        <v>72</v>
      </c>
      <c r="G121" s="14">
        <v>78982</v>
      </c>
      <c r="H121" s="14">
        <v>78982</v>
      </c>
      <c r="I121" s="14" t="s">
        <v>72</v>
      </c>
    </row>
    <row r="122" spans="1:9" ht="16" thickBot="1" x14ac:dyDescent="0.25">
      <c r="A122" s="402" t="s">
        <v>377</v>
      </c>
      <c r="B122" s="403"/>
      <c r="C122" s="14" t="s">
        <v>72</v>
      </c>
      <c r="D122" s="14" t="s">
        <v>72</v>
      </c>
      <c r="E122" s="14" t="s">
        <v>72</v>
      </c>
      <c r="F122" s="14" t="s">
        <v>72</v>
      </c>
      <c r="G122" s="14" t="s">
        <v>72</v>
      </c>
      <c r="H122" s="14" t="s">
        <v>72</v>
      </c>
      <c r="I122" s="14" t="s">
        <v>72</v>
      </c>
    </row>
    <row r="123" spans="1:9" ht="16" thickBot="1" x14ac:dyDescent="0.25">
      <c r="A123" s="402" t="s">
        <v>378</v>
      </c>
      <c r="B123" s="403"/>
      <c r="C123" s="14" t="s">
        <v>72</v>
      </c>
      <c r="D123" s="14" t="s">
        <v>72</v>
      </c>
      <c r="E123" s="14" t="s">
        <v>72</v>
      </c>
      <c r="F123" s="14" t="s">
        <v>72</v>
      </c>
      <c r="G123" s="14" t="s">
        <v>72</v>
      </c>
      <c r="H123" s="14" t="s">
        <v>72</v>
      </c>
      <c r="I123" s="14" t="s">
        <v>72</v>
      </c>
    </row>
    <row r="124" spans="1:9" ht="16" thickBot="1" x14ac:dyDescent="0.25">
      <c r="A124" s="402" t="s">
        <v>379</v>
      </c>
      <c r="B124" s="403"/>
      <c r="C124" s="22" t="s">
        <v>72</v>
      </c>
      <c r="D124" s="22" t="s">
        <v>72</v>
      </c>
      <c r="E124" s="22" t="s">
        <v>72</v>
      </c>
      <c r="F124" s="22" t="s">
        <v>72</v>
      </c>
      <c r="G124" s="22" t="s">
        <v>72</v>
      </c>
      <c r="H124" s="22" t="s">
        <v>72</v>
      </c>
      <c r="I124" s="22" t="s">
        <v>72</v>
      </c>
    </row>
    <row r="125" spans="1:9" ht="16" thickBot="1" x14ac:dyDescent="0.25">
      <c r="A125" s="402" t="s">
        <v>380</v>
      </c>
      <c r="B125" s="403"/>
      <c r="C125" s="22" t="s">
        <v>72</v>
      </c>
      <c r="D125" s="22" t="s">
        <v>72</v>
      </c>
      <c r="E125" s="22" t="s">
        <v>72</v>
      </c>
      <c r="F125" s="22" t="s">
        <v>72</v>
      </c>
      <c r="G125" s="22" t="s">
        <v>72</v>
      </c>
      <c r="H125" s="22" t="s">
        <v>72</v>
      </c>
      <c r="I125" s="22" t="s">
        <v>72</v>
      </c>
    </row>
    <row r="126" spans="1:9" ht="16" thickBot="1" x14ac:dyDescent="0.25">
      <c r="A126" s="402" t="s">
        <v>381</v>
      </c>
      <c r="B126" s="403"/>
      <c r="C126" s="14" t="s">
        <v>72</v>
      </c>
      <c r="D126" s="14" t="s">
        <v>72</v>
      </c>
      <c r="E126" s="14" t="s">
        <v>72</v>
      </c>
      <c r="F126" s="14" t="s">
        <v>72</v>
      </c>
      <c r="G126" s="14" t="s">
        <v>72</v>
      </c>
      <c r="H126" s="14" t="s">
        <v>72</v>
      </c>
      <c r="I126" s="14" t="s">
        <v>72</v>
      </c>
    </row>
    <row r="127" spans="1:9" ht="16" thickBot="1" x14ac:dyDescent="0.25">
      <c r="A127" s="402" t="s">
        <v>382</v>
      </c>
      <c r="B127" s="403"/>
      <c r="C127" s="14" t="s">
        <v>72</v>
      </c>
      <c r="D127" s="14" t="s">
        <v>72</v>
      </c>
      <c r="E127" s="14" t="s">
        <v>72</v>
      </c>
      <c r="F127" s="14" t="s">
        <v>72</v>
      </c>
      <c r="G127" s="14" t="s">
        <v>72</v>
      </c>
      <c r="H127" s="14" t="s">
        <v>72</v>
      </c>
      <c r="I127" s="14" t="s">
        <v>72</v>
      </c>
    </row>
    <row r="128" spans="1:9" ht="16" thickBot="1" x14ac:dyDescent="0.25">
      <c r="A128" s="402" t="s">
        <v>383</v>
      </c>
      <c r="B128" s="403"/>
      <c r="C128" s="14" t="s">
        <v>72</v>
      </c>
      <c r="D128" s="14" t="s">
        <v>72</v>
      </c>
      <c r="E128" s="14" t="s">
        <v>72</v>
      </c>
      <c r="F128" s="14" t="s">
        <v>72</v>
      </c>
      <c r="G128" s="14" t="s">
        <v>72</v>
      </c>
      <c r="H128" s="14" t="s">
        <v>72</v>
      </c>
      <c r="I128" s="14" t="s">
        <v>72</v>
      </c>
    </row>
    <row r="129" spans="1:15" ht="16" thickBot="1" x14ac:dyDescent="0.25">
      <c r="A129" s="402" t="s">
        <v>384</v>
      </c>
      <c r="B129" s="403"/>
      <c r="C129" s="14" t="s">
        <v>72</v>
      </c>
      <c r="D129" s="14" t="s">
        <v>72</v>
      </c>
      <c r="E129" s="14" t="s">
        <v>72</v>
      </c>
      <c r="F129" s="14" t="s">
        <v>72</v>
      </c>
      <c r="G129" s="14" t="s">
        <v>72</v>
      </c>
      <c r="H129" s="14" t="s">
        <v>72</v>
      </c>
      <c r="I129" s="14" t="s">
        <v>72</v>
      </c>
    </row>
    <row r="130" spans="1:15" ht="16" thickBot="1" x14ac:dyDescent="0.25">
      <c r="A130" s="402" t="s">
        <v>385</v>
      </c>
      <c r="B130" s="403"/>
      <c r="C130" s="14" t="s">
        <v>72</v>
      </c>
      <c r="D130" s="14" t="s">
        <v>72</v>
      </c>
      <c r="E130" s="14" t="s">
        <v>72</v>
      </c>
      <c r="F130" s="14" t="s">
        <v>72</v>
      </c>
      <c r="G130" s="14" t="s">
        <v>72</v>
      </c>
      <c r="H130" s="14" t="s">
        <v>72</v>
      </c>
      <c r="I130" s="14" t="s">
        <v>72</v>
      </c>
    </row>
    <row r="131" spans="1:15" ht="16" thickBot="1" x14ac:dyDescent="0.25">
      <c r="A131" s="402" t="s">
        <v>386</v>
      </c>
      <c r="B131" s="403"/>
      <c r="C131" s="14" t="s">
        <v>72</v>
      </c>
      <c r="D131" s="14" t="s">
        <v>72</v>
      </c>
      <c r="E131" s="14" t="s">
        <v>72</v>
      </c>
      <c r="F131" s="14" t="s">
        <v>72</v>
      </c>
      <c r="G131" s="14" t="s">
        <v>72</v>
      </c>
      <c r="H131" s="14" t="s">
        <v>72</v>
      </c>
      <c r="I131" s="14" t="s">
        <v>72</v>
      </c>
    </row>
    <row r="132" spans="1:15" ht="16" thickBot="1" x14ac:dyDescent="0.25">
      <c r="A132" s="402" t="s">
        <v>387</v>
      </c>
      <c r="B132" s="403"/>
      <c r="C132" s="14" t="s">
        <v>72</v>
      </c>
      <c r="D132" s="14" t="s">
        <v>72</v>
      </c>
      <c r="E132" s="14" t="s">
        <v>72</v>
      </c>
      <c r="F132" s="14" t="s">
        <v>72</v>
      </c>
      <c r="G132" s="14" t="s">
        <v>72</v>
      </c>
      <c r="H132" s="14" t="s">
        <v>72</v>
      </c>
      <c r="I132" s="14" t="s">
        <v>72</v>
      </c>
    </row>
    <row r="133" spans="1:15" ht="16" thickBot="1" x14ac:dyDescent="0.25">
      <c r="A133" s="402" t="s">
        <v>388</v>
      </c>
      <c r="B133" s="403"/>
      <c r="C133" s="14" t="s">
        <v>72</v>
      </c>
      <c r="D133" s="14" t="s">
        <v>72</v>
      </c>
      <c r="E133" s="14" t="s">
        <v>72</v>
      </c>
      <c r="F133" s="14" t="s">
        <v>72</v>
      </c>
      <c r="G133" s="14" t="s">
        <v>72</v>
      </c>
      <c r="H133" s="14" t="s">
        <v>72</v>
      </c>
      <c r="I133" s="14" t="s">
        <v>72</v>
      </c>
    </row>
    <row r="134" spans="1:15" ht="16" thickBot="1" x14ac:dyDescent="0.25">
      <c r="A134" s="402" t="s">
        <v>389</v>
      </c>
      <c r="B134" s="403"/>
      <c r="C134" s="14" t="s">
        <v>72</v>
      </c>
      <c r="D134" s="14" t="s">
        <v>72</v>
      </c>
      <c r="E134" s="14" t="s">
        <v>72</v>
      </c>
      <c r="F134" s="14" t="s">
        <v>72</v>
      </c>
      <c r="G134" s="14" t="s">
        <v>72</v>
      </c>
      <c r="H134" s="14" t="s">
        <v>72</v>
      </c>
      <c r="I134" s="14" t="s">
        <v>72</v>
      </c>
    </row>
    <row r="135" spans="1:15" ht="16" thickBot="1" x14ac:dyDescent="0.25">
      <c r="A135" s="402" t="s">
        <v>390</v>
      </c>
      <c r="B135" s="403"/>
      <c r="C135" s="14">
        <v>259383</v>
      </c>
      <c r="D135" s="14">
        <v>363074</v>
      </c>
      <c r="E135" s="14">
        <v>434775</v>
      </c>
      <c r="F135" s="14">
        <v>278003</v>
      </c>
      <c r="G135" s="14">
        <v>28427</v>
      </c>
      <c r="H135" s="14">
        <v>554140</v>
      </c>
      <c r="I135" s="14">
        <v>485623</v>
      </c>
    </row>
    <row r="136" spans="1:15" ht="16" thickBot="1" x14ac:dyDescent="0.25">
      <c r="A136" s="402" t="s">
        <v>391</v>
      </c>
      <c r="B136" s="403"/>
      <c r="C136" s="14" t="s">
        <v>72</v>
      </c>
      <c r="D136" s="14" t="s">
        <v>72</v>
      </c>
      <c r="E136" s="14" t="s">
        <v>72</v>
      </c>
      <c r="F136" s="14" t="s">
        <v>72</v>
      </c>
      <c r="G136" s="14" t="s">
        <v>72</v>
      </c>
      <c r="H136" s="14" t="s">
        <v>72</v>
      </c>
      <c r="I136" s="14" t="s">
        <v>72</v>
      </c>
    </row>
    <row r="137" spans="1:15" ht="16" thickBot="1" x14ac:dyDescent="0.25">
      <c r="A137" s="402" t="s">
        <v>392</v>
      </c>
      <c r="B137" s="403"/>
      <c r="C137" s="14">
        <v>51877</v>
      </c>
      <c r="D137" s="14">
        <v>73196</v>
      </c>
      <c r="E137" s="14">
        <v>87028</v>
      </c>
      <c r="F137" s="14">
        <v>74155</v>
      </c>
      <c r="G137" s="14">
        <v>18211</v>
      </c>
      <c r="H137" s="14">
        <v>110242</v>
      </c>
      <c r="I137" s="14">
        <v>87549</v>
      </c>
    </row>
    <row r="138" spans="1:15" ht="16" thickBot="1" x14ac:dyDescent="0.25">
      <c r="A138" s="402" t="s">
        <v>393</v>
      </c>
      <c r="B138" s="403"/>
      <c r="C138" s="14">
        <v>207506</v>
      </c>
      <c r="D138" s="14">
        <v>289878</v>
      </c>
      <c r="E138" s="14">
        <v>347747</v>
      </c>
      <c r="F138" s="14">
        <v>203847</v>
      </c>
      <c r="G138" s="14">
        <v>10217</v>
      </c>
      <c r="H138" s="14">
        <v>443898</v>
      </c>
      <c r="I138" s="14">
        <v>398074</v>
      </c>
    </row>
    <row r="139" spans="1:15" ht="16" thickBot="1" x14ac:dyDescent="0.25">
      <c r="A139" s="402" t="s">
        <v>394</v>
      </c>
      <c r="B139" s="403"/>
      <c r="C139" s="14">
        <v>201281</v>
      </c>
      <c r="D139" s="14">
        <v>281174</v>
      </c>
      <c r="E139" s="14">
        <v>337329</v>
      </c>
      <c r="F139" s="14">
        <v>205644</v>
      </c>
      <c r="G139" s="14">
        <v>21018</v>
      </c>
      <c r="H139" s="14">
        <v>443732</v>
      </c>
      <c r="I139" s="14">
        <v>390361</v>
      </c>
    </row>
    <row r="140" spans="1:15" s="55" customFormat="1" ht="16" thickBot="1" x14ac:dyDescent="0.25">
      <c r="A140" s="411" t="s">
        <v>395</v>
      </c>
      <c r="B140" s="412"/>
      <c r="C140" s="146">
        <v>2985.09</v>
      </c>
      <c r="D140" s="146">
        <v>2084.66</v>
      </c>
      <c r="E140" s="146">
        <v>2500.73</v>
      </c>
      <c r="F140" s="146">
        <v>1514.45</v>
      </c>
      <c r="G140" s="146">
        <v>154.27000000000001</v>
      </c>
      <c r="H140" s="146">
        <v>3256.94</v>
      </c>
      <c r="I140" s="146">
        <v>2865.19</v>
      </c>
      <c r="J140" s="126">
        <f>J141*'Revenue breakdown'!G3</f>
        <v>3875.2581657783385</v>
      </c>
      <c r="K140" s="126">
        <f>K141*'Revenue breakdown'!H3</f>
        <v>3645.6537740997337</v>
      </c>
      <c r="L140" s="126">
        <f>L141*'Revenue breakdown'!I3</f>
        <v>3908.3547150805648</v>
      </c>
      <c r="M140" s="126">
        <f>M141*'Revenue breakdown'!J3</f>
        <v>4980.9216132030278</v>
      </c>
      <c r="N140" s="126">
        <f>N141*'Revenue breakdown'!K3</f>
        <v>4892.4938047409041</v>
      </c>
      <c r="O140" s="126">
        <f>O141*'Revenue breakdown'!L3</f>
        <v>5315.772142241849</v>
      </c>
    </row>
    <row r="141" spans="1:15" s="55" customFormat="1" ht="16" thickBot="1" x14ac:dyDescent="0.25">
      <c r="A141" s="57"/>
      <c r="B141" s="58"/>
      <c r="C141" s="146"/>
      <c r="D141" s="146"/>
      <c r="E141" s="115">
        <f>E140/'Revenue breakdown'!B3</f>
        <v>1.6346419397927944E-4</v>
      </c>
      <c r="F141" s="115">
        <f>F140/'Revenue breakdown'!C3</f>
        <v>9.1045668018920338E-5</v>
      </c>
      <c r="G141" s="115">
        <f>G140/'Revenue breakdown'!D3</f>
        <v>1.0522175312249833E-5</v>
      </c>
      <c r="H141" s="115">
        <f>H140/'Revenue breakdown'!E3</f>
        <v>1.4478531436440365E-4</v>
      </c>
      <c r="I141" s="115">
        <f>I140/'Revenue breakdown'!F3</f>
        <v>9.4981399631987229E-5</v>
      </c>
      <c r="J141" s="125">
        <f>AVERAGE(E141:I141)</f>
        <v>1.0095975026136812E-4</v>
      </c>
      <c r="K141" s="125">
        <f t="shared" ref="K141:O141" si="26">AVERAGE(F141:J141)</f>
        <v>8.8458861517785834E-5</v>
      </c>
      <c r="L141" s="125">
        <f t="shared" si="26"/>
        <v>8.7941500217558933E-5</v>
      </c>
      <c r="M141" s="125">
        <f t="shared" si="26"/>
        <v>1.0342536519862075E-4</v>
      </c>
      <c r="N141" s="125">
        <f t="shared" si="26"/>
        <v>9.5153375365464177E-5</v>
      </c>
      <c r="O141" s="125">
        <f t="shared" si="26"/>
        <v>9.5187770512159564E-5</v>
      </c>
    </row>
    <row r="142" spans="1:15" ht="16" thickBot="1" x14ac:dyDescent="0.25">
      <c r="A142" s="402" t="s">
        <v>396</v>
      </c>
      <c r="B142" s="403"/>
      <c r="C142" s="22">
        <v>2985.09</v>
      </c>
      <c r="D142" s="22">
        <v>2084.66</v>
      </c>
      <c r="E142" s="22">
        <v>2500.73</v>
      </c>
      <c r="F142" s="22">
        <v>1514.45</v>
      </c>
      <c r="G142" s="22">
        <v>154.27000000000001</v>
      </c>
      <c r="H142" s="22">
        <v>3256.94</v>
      </c>
      <c r="I142" s="22">
        <v>2865.19</v>
      </c>
    </row>
    <row r="143" spans="1:15" ht="16" thickBot="1" x14ac:dyDescent="0.25">
      <c r="A143" s="402" t="s">
        <v>397</v>
      </c>
      <c r="B143" s="403"/>
      <c r="C143" s="22" t="s">
        <v>72</v>
      </c>
      <c r="D143" s="22" t="s">
        <v>72</v>
      </c>
      <c r="E143" s="22" t="s">
        <v>72</v>
      </c>
      <c r="F143" s="22" t="s">
        <v>72</v>
      </c>
      <c r="G143" s="22" t="s">
        <v>72</v>
      </c>
      <c r="H143" s="22" t="s">
        <v>72</v>
      </c>
      <c r="I143" s="22" t="s">
        <v>72</v>
      </c>
    </row>
    <row r="144" spans="1:15" ht="16" thickBot="1" x14ac:dyDescent="0.25">
      <c r="A144" s="402" t="s">
        <v>398</v>
      </c>
      <c r="B144" s="403"/>
      <c r="C144" s="14" t="s">
        <v>72</v>
      </c>
      <c r="D144" s="14" t="s">
        <v>72</v>
      </c>
      <c r="E144" s="14" t="s">
        <v>72</v>
      </c>
      <c r="F144" s="14" t="s">
        <v>72</v>
      </c>
      <c r="G144" s="14" t="s">
        <v>72</v>
      </c>
      <c r="H144" s="14" t="s">
        <v>72</v>
      </c>
      <c r="I144" s="14" t="s">
        <v>72</v>
      </c>
    </row>
    <row r="145" spans="1:9" ht="16" thickBot="1" x14ac:dyDescent="0.25">
      <c r="A145" s="402" t="s">
        <v>399</v>
      </c>
      <c r="B145" s="403"/>
      <c r="C145" s="14" t="s">
        <v>72</v>
      </c>
      <c r="D145" s="14" t="s">
        <v>72</v>
      </c>
      <c r="E145" s="14" t="s">
        <v>72</v>
      </c>
      <c r="F145" s="14" t="s">
        <v>72</v>
      </c>
      <c r="G145" s="14" t="s">
        <v>72</v>
      </c>
      <c r="H145" s="14" t="s">
        <v>72</v>
      </c>
      <c r="I145" s="14" t="s">
        <v>72</v>
      </c>
    </row>
    <row r="146" spans="1:9" ht="16" thickBot="1" x14ac:dyDescent="0.25">
      <c r="A146" s="402" t="s">
        <v>400</v>
      </c>
      <c r="B146" s="403"/>
      <c r="C146" s="14" t="s">
        <v>72</v>
      </c>
      <c r="D146" s="14">
        <v>586</v>
      </c>
      <c r="E146" s="14">
        <v>405</v>
      </c>
      <c r="F146" s="14">
        <v>415</v>
      </c>
      <c r="G146" s="14">
        <v>497</v>
      </c>
      <c r="H146" s="14">
        <v>2110</v>
      </c>
      <c r="I146" s="14">
        <v>4571</v>
      </c>
    </row>
    <row r="147" spans="1:9" ht="16" thickBot="1" x14ac:dyDescent="0.25">
      <c r="A147" s="402" t="s">
        <v>401</v>
      </c>
      <c r="B147" s="403"/>
      <c r="C147" s="14" t="s">
        <v>72</v>
      </c>
      <c r="D147" s="14" t="s">
        <v>72</v>
      </c>
      <c r="E147" s="14" t="s">
        <v>72</v>
      </c>
      <c r="F147" s="14" t="s">
        <v>72</v>
      </c>
      <c r="G147" s="14" t="s">
        <v>72</v>
      </c>
      <c r="H147" s="14" t="s">
        <v>72</v>
      </c>
      <c r="I147" s="14" t="s">
        <v>72</v>
      </c>
    </row>
    <row r="148" spans="1:9" ht="16" thickBot="1" x14ac:dyDescent="0.25">
      <c r="A148" s="402" t="s">
        <v>402</v>
      </c>
      <c r="B148" s="403"/>
      <c r="C148" s="14">
        <v>1705</v>
      </c>
      <c r="D148" s="14">
        <v>498</v>
      </c>
      <c r="E148" s="14">
        <v>376</v>
      </c>
      <c r="F148" s="14">
        <v>421</v>
      </c>
      <c r="G148" s="14">
        <v>876</v>
      </c>
      <c r="H148" s="14">
        <v>1701</v>
      </c>
      <c r="I148" s="14">
        <v>110715</v>
      </c>
    </row>
    <row r="149" spans="1:9" ht="16" thickBot="1" x14ac:dyDescent="0.25">
      <c r="A149" s="402" t="s">
        <v>403</v>
      </c>
      <c r="B149" s="403"/>
      <c r="C149" s="14" t="s">
        <v>72</v>
      </c>
      <c r="D149" s="14" t="s">
        <v>72</v>
      </c>
      <c r="E149" s="14" t="s">
        <v>72</v>
      </c>
      <c r="F149" s="14" t="s">
        <v>72</v>
      </c>
      <c r="G149" s="14" t="s">
        <v>72</v>
      </c>
      <c r="H149" s="14" t="s">
        <v>72</v>
      </c>
      <c r="I149" s="14" t="s">
        <v>72</v>
      </c>
    </row>
    <row r="150" spans="1:9" ht="16" thickBot="1" x14ac:dyDescent="0.25">
      <c r="A150" s="402" t="s">
        <v>404</v>
      </c>
      <c r="B150" s="403"/>
      <c r="C150" s="14">
        <v>73839</v>
      </c>
      <c r="D150" s="14">
        <v>78951</v>
      </c>
      <c r="E150" s="14">
        <v>95671</v>
      </c>
      <c r="F150" s="14">
        <v>135183</v>
      </c>
      <c r="G150" s="14">
        <v>113682</v>
      </c>
      <c r="H150" s="14">
        <v>132229</v>
      </c>
      <c r="I150" s="14">
        <v>231528</v>
      </c>
    </row>
    <row r="151" spans="1:9" ht="16" thickBot="1" x14ac:dyDescent="0.25">
      <c r="A151" s="402" t="s">
        <v>405</v>
      </c>
      <c r="B151" s="403"/>
      <c r="C151" s="14" t="s">
        <v>72</v>
      </c>
      <c r="D151" s="14" t="s">
        <v>72</v>
      </c>
      <c r="E151" s="14" t="s">
        <v>72</v>
      </c>
      <c r="F151" s="14" t="s">
        <v>72</v>
      </c>
      <c r="G151" s="14" t="s">
        <v>72</v>
      </c>
      <c r="H151" s="14" t="s">
        <v>72</v>
      </c>
      <c r="I151" s="14" t="s">
        <v>72</v>
      </c>
    </row>
    <row r="152" spans="1:9" ht="16" thickBot="1" x14ac:dyDescent="0.25">
      <c r="A152" s="402" t="s">
        <v>406</v>
      </c>
      <c r="B152" s="403"/>
      <c r="C152" s="14" t="s">
        <v>72</v>
      </c>
      <c r="D152" s="14" t="s">
        <v>72</v>
      </c>
      <c r="E152" s="14" t="s">
        <v>72</v>
      </c>
      <c r="F152" s="14" t="s">
        <v>72</v>
      </c>
      <c r="G152" s="14" t="s">
        <v>72</v>
      </c>
      <c r="H152" s="14" t="s">
        <v>72</v>
      </c>
      <c r="I152" s="14" t="s">
        <v>72</v>
      </c>
    </row>
    <row r="153" spans="1:9" ht="16" thickBot="1" x14ac:dyDescent="0.25">
      <c r="A153" s="402" t="s">
        <v>407</v>
      </c>
      <c r="B153" s="403"/>
      <c r="C153" s="14" t="s">
        <v>72</v>
      </c>
      <c r="D153" s="14" t="s">
        <v>72</v>
      </c>
      <c r="E153" s="14" t="s">
        <v>72</v>
      </c>
      <c r="F153" s="14" t="s">
        <v>72</v>
      </c>
      <c r="G153" s="14" t="s">
        <v>72</v>
      </c>
      <c r="H153" s="14" t="s">
        <v>72</v>
      </c>
      <c r="I153" s="14" t="s">
        <v>72</v>
      </c>
    </row>
    <row r="154" spans="1:9" ht="16" thickBot="1" x14ac:dyDescent="0.25">
      <c r="A154" s="402" t="s">
        <v>408</v>
      </c>
      <c r="B154" s="403"/>
      <c r="C154" s="14" t="s">
        <v>72</v>
      </c>
      <c r="D154" s="14" t="s">
        <v>72</v>
      </c>
      <c r="E154" s="14" t="s">
        <v>72</v>
      </c>
      <c r="F154" s="14" t="s">
        <v>72</v>
      </c>
      <c r="G154" s="14" t="s">
        <v>72</v>
      </c>
      <c r="H154" s="14" t="s">
        <v>72</v>
      </c>
      <c r="I154" s="14" t="s">
        <v>72</v>
      </c>
    </row>
    <row r="155" spans="1:9" ht="16" thickBot="1" x14ac:dyDescent="0.25">
      <c r="A155" s="402" t="s">
        <v>409</v>
      </c>
      <c r="B155" s="403"/>
      <c r="C155" s="14" t="s">
        <v>72</v>
      </c>
      <c r="D155" s="14" t="s">
        <v>72</v>
      </c>
      <c r="E155" s="14" t="s">
        <v>72</v>
      </c>
      <c r="F155" s="14" t="s">
        <v>72</v>
      </c>
      <c r="G155" s="14">
        <v>462395</v>
      </c>
      <c r="H155" s="14">
        <v>658127</v>
      </c>
      <c r="I155" s="14">
        <v>818241</v>
      </c>
    </row>
    <row r="156" spans="1:9" ht="16" thickBot="1" x14ac:dyDescent="0.25">
      <c r="A156" s="402" t="s">
        <v>410</v>
      </c>
      <c r="B156" s="403"/>
      <c r="C156" s="14">
        <v>526826</v>
      </c>
      <c r="D156" s="14">
        <v>646073</v>
      </c>
      <c r="E156" s="14">
        <v>647727</v>
      </c>
      <c r="F156" s="14">
        <v>783800</v>
      </c>
      <c r="G156" s="14">
        <v>886608</v>
      </c>
      <c r="H156" s="14">
        <v>1365500</v>
      </c>
      <c r="I156" s="14">
        <v>1957142</v>
      </c>
    </row>
    <row r="157" spans="1:9" ht="16" thickBot="1" x14ac:dyDescent="0.25">
      <c r="A157" s="402" t="s">
        <v>411</v>
      </c>
      <c r="B157" s="403"/>
      <c r="C157" s="14" t="s">
        <v>72</v>
      </c>
      <c r="D157" s="14" t="s">
        <v>72</v>
      </c>
      <c r="E157" s="14" t="s">
        <v>72</v>
      </c>
      <c r="F157" s="14" t="s">
        <v>72</v>
      </c>
      <c r="G157" s="14" t="s">
        <v>72</v>
      </c>
      <c r="H157" s="14" t="s">
        <v>72</v>
      </c>
      <c r="I157" s="14" t="s">
        <v>72</v>
      </c>
    </row>
    <row r="158" spans="1:9" ht="16" thickBot="1" x14ac:dyDescent="0.25">
      <c r="A158" s="402" t="s">
        <v>412</v>
      </c>
      <c r="B158" s="403"/>
      <c r="C158" s="14" t="s">
        <v>72</v>
      </c>
      <c r="D158" s="14" t="s">
        <v>72</v>
      </c>
      <c r="E158" s="14" t="s">
        <v>72</v>
      </c>
      <c r="F158" s="14" t="s">
        <v>72</v>
      </c>
      <c r="G158" s="14" t="s">
        <v>72</v>
      </c>
      <c r="H158" s="14" t="s">
        <v>72</v>
      </c>
      <c r="I158" s="14" t="s">
        <v>72</v>
      </c>
    </row>
    <row r="159" spans="1:9" ht="16" thickBot="1" x14ac:dyDescent="0.25">
      <c r="A159" s="402" t="s">
        <v>413</v>
      </c>
      <c r="B159" s="403"/>
      <c r="C159" s="14" t="s">
        <v>72</v>
      </c>
      <c r="D159" s="14" t="s">
        <v>72</v>
      </c>
      <c r="E159" s="14" t="s">
        <v>72</v>
      </c>
      <c r="F159" s="14" t="s">
        <v>72</v>
      </c>
      <c r="G159" s="14" t="s">
        <v>72</v>
      </c>
      <c r="H159" s="14" t="s">
        <v>72</v>
      </c>
      <c r="I159" s="14" t="s">
        <v>72</v>
      </c>
    </row>
    <row r="160" spans="1:9" ht="16" thickBot="1" x14ac:dyDescent="0.25">
      <c r="A160" s="402" t="s">
        <v>414</v>
      </c>
      <c r="B160" s="403"/>
      <c r="C160" s="14" t="s">
        <v>72</v>
      </c>
      <c r="D160" s="14" t="s">
        <v>72</v>
      </c>
      <c r="E160" s="14" t="s">
        <v>72</v>
      </c>
      <c r="F160" s="14" t="s">
        <v>72</v>
      </c>
      <c r="G160" s="14" t="s">
        <v>72</v>
      </c>
      <c r="H160" s="14" t="s">
        <v>72</v>
      </c>
      <c r="I160" s="14" t="s">
        <v>72</v>
      </c>
    </row>
    <row r="161" spans="1:9" ht="16" thickBot="1" x14ac:dyDescent="0.25">
      <c r="A161" s="402" t="s">
        <v>415</v>
      </c>
      <c r="B161" s="403"/>
      <c r="C161" s="14" t="s">
        <v>72</v>
      </c>
      <c r="D161" s="14" t="s">
        <v>72</v>
      </c>
      <c r="E161" s="14" t="s">
        <v>72</v>
      </c>
      <c r="F161" s="14" t="s">
        <v>72</v>
      </c>
      <c r="G161" s="14" t="s">
        <v>72</v>
      </c>
      <c r="H161" s="14" t="s">
        <v>72</v>
      </c>
      <c r="I161" s="14" t="s">
        <v>72</v>
      </c>
    </row>
    <row r="162" spans="1:9" ht="16" thickBot="1" x14ac:dyDescent="0.25">
      <c r="A162" s="402" t="s">
        <v>416</v>
      </c>
      <c r="B162" s="403"/>
      <c r="C162" s="14" t="s">
        <v>72</v>
      </c>
      <c r="D162" s="14" t="s">
        <v>72</v>
      </c>
      <c r="E162" s="14" t="s">
        <v>72</v>
      </c>
      <c r="F162" s="14" t="s">
        <v>72</v>
      </c>
      <c r="G162" s="14" t="s">
        <v>72</v>
      </c>
      <c r="H162" s="14" t="s">
        <v>72</v>
      </c>
      <c r="I162" s="14" t="s">
        <v>72</v>
      </c>
    </row>
    <row r="163" spans="1:9" ht="16" thickBot="1" x14ac:dyDescent="0.25">
      <c r="A163" s="402" t="s">
        <v>417</v>
      </c>
      <c r="B163" s="403"/>
      <c r="C163" s="14" t="s">
        <v>72</v>
      </c>
      <c r="D163" s="14" t="s">
        <v>72</v>
      </c>
      <c r="E163" s="14" t="s">
        <v>72</v>
      </c>
      <c r="F163" s="14" t="s">
        <v>72</v>
      </c>
      <c r="G163" s="14" t="s">
        <v>72</v>
      </c>
      <c r="H163" s="14" t="s">
        <v>72</v>
      </c>
      <c r="I163" s="14" t="s">
        <v>72</v>
      </c>
    </row>
    <row r="164" spans="1:9" ht="16" thickBot="1" x14ac:dyDescent="0.25">
      <c r="A164" s="402" t="s">
        <v>418</v>
      </c>
      <c r="B164" s="403"/>
      <c r="C164" s="14" t="s">
        <v>72</v>
      </c>
      <c r="D164" s="14" t="s">
        <v>72</v>
      </c>
      <c r="E164" s="14" t="s">
        <v>72</v>
      </c>
      <c r="F164" s="14" t="s">
        <v>72</v>
      </c>
      <c r="G164" s="14" t="s">
        <v>72</v>
      </c>
      <c r="H164" s="14">
        <v>190112</v>
      </c>
      <c r="I164" s="14">
        <v>347493</v>
      </c>
    </row>
    <row r="165" spans="1:9" ht="16" thickBot="1" x14ac:dyDescent="0.25">
      <c r="A165" s="402" t="s">
        <v>419</v>
      </c>
      <c r="B165" s="403"/>
      <c r="C165" s="14" t="s">
        <v>72</v>
      </c>
      <c r="D165" s="14" t="s">
        <v>72</v>
      </c>
      <c r="E165" s="14" t="s">
        <v>72</v>
      </c>
      <c r="F165" s="14" t="s">
        <v>72</v>
      </c>
      <c r="G165" s="14" t="s">
        <v>72</v>
      </c>
      <c r="H165" s="14" t="s">
        <v>72</v>
      </c>
      <c r="I165" s="14" t="s">
        <v>72</v>
      </c>
    </row>
    <row r="166" spans="1:9" ht="16" thickBot="1" x14ac:dyDescent="0.25">
      <c r="A166" s="402" t="s">
        <v>420</v>
      </c>
      <c r="B166" s="403"/>
      <c r="C166" s="14" t="s">
        <v>72</v>
      </c>
      <c r="D166" s="14" t="s">
        <v>72</v>
      </c>
      <c r="E166" s="14">
        <v>16</v>
      </c>
      <c r="F166" s="14">
        <v>9168</v>
      </c>
      <c r="G166" s="14">
        <v>14502</v>
      </c>
      <c r="H166" s="14">
        <v>-166</v>
      </c>
      <c r="I166" s="14">
        <v>-7713</v>
      </c>
    </row>
    <row r="167" spans="1:9" ht="16" thickBot="1" x14ac:dyDescent="0.25">
      <c r="A167" s="402" t="s">
        <v>421</v>
      </c>
      <c r="B167" s="403"/>
      <c r="C167" s="14" t="s">
        <v>72</v>
      </c>
      <c r="D167" s="14" t="s">
        <v>72</v>
      </c>
      <c r="E167" s="14" t="s">
        <v>72</v>
      </c>
      <c r="F167" s="14" t="s">
        <v>72</v>
      </c>
      <c r="G167" s="14" t="s">
        <v>72</v>
      </c>
      <c r="H167" s="14" t="s">
        <v>72</v>
      </c>
      <c r="I167" s="14" t="s">
        <v>72</v>
      </c>
    </row>
    <row r="168" spans="1:9" ht="16" thickBot="1" x14ac:dyDescent="0.25">
      <c r="A168" s="402" t="s">
        <v>422</v>
      </c>
      <c r="B168" s="403"/>
      <c r="C168" s="14" t="s">
        <v>72</v>
      </c>
      <c r="D168" s="14" t="s">
        <v>72</v>
      </c>
      <c r="E168" s="14" t="s">
        <v>72</v>
      </c>
      <c r="F168" s="14" t="s">
        <v>72</v>
      </c>
      <c r="G168" s="14" t="s">
        <v>72</v>
      </c>
      <c r="H168" s="14" t="s">
        <v>72</v>
      </c>
      <c r="I168" s="14" t="s">
        <v>72</v>
      </c>
    </row>
    <row r="169" spans="1:9" ht="16" thickBot="1" x14ac:dyDescent="0.25">
      <c r="A169" s="402" t="s">
        <v>423</v>
      </c>
      <c r="B169" s="403"/>
      <c r="C169" s="14" t="s">
        <v>72</v>
      </c>
      <c r="D169" s="14" t="s">
        <v>72</v>
      </c>
      <c r="E169" s="14" t="s">
        <v>72</v>
      </c>
      <c r="F169" s="14" t="s">
        <v>72</v>
      </c>
      <c r="G169" s="14" t="s">
        <v>72</v>
      </c>
      <c r="H169" s="14" t="s">
        <v>72</v>
      </c>
      <c r="I169" s="14" t="s">
        <v>72</v>
      </c>
    </row>
    <row r="170" spans="1:9" ht="16" thickBot="1" x14ac:dyDescent="0.25">
      <c r="A170" s="402" t="s">
        <v>424</v>
      </c>
      <c r="B170" s="403"/>
      <c r="C170" s="14" t="s">
        <v>72</v>
      </c>
      <c r="D170" s="14" t="s">
        <v>72</v>
      </c>
      <c r="E170" s="14" t="s">
        <v>72</v>
      </c>
      <c r="F170" s="14" t="s">
        <v>72</v>
      </c>
      <c r="G170" s="14" t="s">
        <v>72</v>
      </c>
      <c r="H170" s="14" t="s">
        <v>72</v>
      </c>
      <c r="I170" s="14" t="s">
        <v>72</v>
      </c>
    </row>
    <row r="171" spans="1:9" ht="16" thickBot="1" x14ac:dyDescent="0.25">
      <c r="A171" s="402" t="s">
        <v>425</v>
      </c>
      <c r="B171" s="403"/>
      <c r="C171" s="14" t="s">
        <v>72</v>
      </c>
      <c r="D171" s="14" t="s">
        <v>72</v>
      </c>
      <c r="E171" s="14" t="s">
        <v>72</v>
      </c>
      <c r="F171" s="14" t="s">
        <v>72</v>
      </c>
      <c r="G171" s="14" t="s">
        <v>72</v>
      </c>
      <c r="H171" s="14" t="s">
        <v>72</v>
      </c>
      <c r="I171" s="14" t="s">
        <v>72</v>
      </c>
    </row>
    <row r="172" spans="1:9" ht="16" thickBot="1" x14ac:dyDescent="0.25">
      <c r="A172" s="402" t="s">
        <v>426</v>
      </c>
      <c r="B172" s="403"/>
      <c r="C172" s="14" t="s">
        <v>72</v>
      </c>
      <c r="D172" s="14" t="s">
        <v>72</v>
      </c>
      <c r="E172" s="14" t="s">
        <v>72</v>
      </c>
      <c r="F172" s="14" t="s">
        <v>72</v>
      </c>
      <c r="G172" s="14" t="s">
        <v>72</v>
      </c>
      <c r="H172" s="14" t="s">
        <v>72</v>
      </c>
      <c r="I172" s="14" t="s">
        <v>72</v>
      </c>
    </row>
    <row r="173" spans="1:9" ht="16" thickBot="1" x14ac:dyDescent="0.25">
      <c r="A173" s="402" t="s">
        <v>427</v>
      </c>
      <c r="B173" s="403"/>
      <c r="C173" s="14" t="s">
        <v>72</v>
      </c>
      <c r="D173" s="14" t="s">
        <v>72</v>
      </c>
      <c r="E173" s="14" t="s">
        <v>72</v>
      </c>
      <c r="F173" s="14" t="s">
        <v>72</v>
      </c>
      <c r="G173" s="14" t="s">
        <v>72</v>
      </c>
      <c r="H173" s="14" t="s">
        <v>72</v>
      </c>
      <c r="I173" s="14" t="s">
        <v>72</v>
      </c>
    </row>
    <row r="174" spans="1:9" ht="16" thickBot="1" x14ac:dyDescent="0.25">
      <c r="A174" s="402" t="s">
        <v>428</v>
      </c>
      <c r="B174" s="403"/>
      <c r="C174" s="14" t="s">
        <v>72</v>
      </c>
      <c r="D174" s="14" t="s">
        <v>72</v>
      </c>
      <c r="E174" s="14" t="s">
        <v>72</v>
      </c>
      <c r="F174" s="14" t="s">
        <v>72</v>
      </c>
      <c r="G174" s="14" t="s">
        <v>72</v>
      </c>
      <c r="H174" s="14" t="s">
        <v>72</v>
      </c>
      <c r="I174" s="14" t="s">
        <v>72</v>
      </c>
    </row>
    <row r="175" spans="1:9" ht="16" thickBot="1" x14ac:dyDescent="0.25">
      <c r="A175" s="402" t="s">
        <v>429</v>
      </c>
      <c r="B175" s="403"/>
      <c r="C175" s="14" t="s">
        <v>72</v>
      </c>
      <c r="D175" s="14" t="s">
        <v>72</v>
      </c>
      <c r="E175" s="14" t="s">
        <v>72</v>
      </c>
      <c r="F175" s="14" t="s">
        <v>72</v>
      </c>
      <c r="G175" s="14" t="s">
        <v>72</v>
      </c>
      <c r="H175" s="14" t="s">
        <v>72</v>
      </c>
      <c r="I175" s="14" t="s">
        <v>72</v>
      </c>
    </row>
    <row r="176" spans="1:9" ht="16" thickBot="1" x14ac:dyDescent="0.25">
      <c r="A176" s="402" t="s">
        <v>430</v>
      </c>
      <c r="B176" s="403"/>
      <c r="C176" s="14" t="s">
        <v>72</v>
      </c>
      <c r="D176" s="14" t="s">
        <v>72</v>
      </c>
      <c r="E176" s="14" t="s">
        <v>72</v>
      </c>
      <c r="F176" s="14" t="s">
        <v>72</v>
      </c>
      <c r="G176" s="14" t="s">
        <v>72</v>
      </c>
      <c r="H176" s="14" t="s">
        <v>72</v>
      </c>
      <c r="I176" s="14" t="s">
        <v>72</v>
      </c>
    </row>
    <row r="177" spans="1:9" ht="16" thickBot="1" x14ac:dyDescent="0.25">
      <c r="A177" s="402" t="s">
        <v>431</v>
      </c>
      <c r="B177" s="403"/>
      <c r="C177" s="14" t="s">
        <v>72</v>
      </c>
      <c r="D177" s="14" t="s">
        <v>72</v>
      </c>
      <c r="E177" s="14" t="s">
        <v>72</v>
      </c>
      <c r="F177" s="14" t="s">
        <v>72</v>
      </c>
      <c r="G177" s="14" t="s">
        <v>72</v>
      </c>
      <c r="H177" s="14" t="s">
        <v>72</v>
      </c>
      <c r="I177" s="14" t="s">
        <v>72</v>
      </c>
    </row>
    <row r="178" spans="1:9" ht="16" thickBot="1" x14ac:dyDescent="0.25">
      <c r="A178" s="402" t="s">
        <v>432</v>
      </c>
      <c r="B178" s="403"/>
      <c r="C178" s="14" t="s">
        <v>72</v>
      </c>
      <c r="D178" s="14" t="s">
        <v>72</v>
      </c>
      <c r="E178" s="14" t="s">
        <v>72</v>
      </c>
      <c r="F178" s="14" t="s">
        <v>72</v>
      </c>
      <c r="G178" s="14" t="s">
        <v>72</v>
      </c>
      <c r="H178" s="14" t="s">
        <v>72</v>
      </c>
      <c r="I178" s="14" t="s">
        <v>72</v>
      </c>
    </row>
    <row r="179" spans="1:9" ht="16" thickBot="1" x14ac:dyDescent="0.25">
      <c r="A179" s="402" t="s">
        <v>433</v>
      </c>
      <c r="B179" s="403"/>
      <c r="C179" s="14" t="s">
        <v>72</v>
      </c>
      <c r="D179" s="14" t="s">
        <v>72</v>
      </c>
      <c r="E179" s="14" t="s">
        <v>72</v>
      </c>
      <c r="F179" s="14" t="s">
        <v>72</v>
      </c>
      <c r="G179" s="14" t="s">
        <v>72</v>
      </c>
      <c r="H179" s="14" t="s">
        <v>72</v>
      </c>
      <c r="I179" s="14" t="s">
        <v>72</v>
      </c>
    </row>
    <row r="180" spans="1:9" ht="16" thickBot="1" x14ac:dyDescent="0.25">
      <c r="A180" s="402" t="s">
        <v>434</v>
      </c>
      <c r="B180" s="403"/>
      <c r="C180" s="14" t="s">
        <v>72</v>
      </c>
      <c r="D180" s="14" t="s">
        <v>72</v>
      </c>
      <c r="E180" s="14" t="s">
        <v>72</v>
      </c>
      <c r="F180" s="14" t="s">
        <v>72</v>
      </c>
      <c r="G180" s="14" t="s">
        <v>72</v>
      </c>
      <c r="H180" s="14" t="s">
        <v>72</v>
      </c>
      <c r="I180" s="14" t="s">
        <v>72</v>
      </c>
    </row>
    <row r="181" spans="1:9" ht="16" thickBot="1" x14ac:dyDescent="0.25">
      <c r="A181" s="402" t="s">
        <v>435</v>
      </c>
      <c r="B181" s="403"/>
      <c r="C181" s="21" t="s">
        <v>72</v>
      </c>
      <c r="D181" s="21" t="s">
        <v>72</v>
      </c>
      <c r="E181" s="21" t="s">
        <v>72</v>
      </c>
      <c r="F181" s="21" t="s">
        <v>72</v>
      </c>
      <c r="G181" s="21" t="s">
        <v>72</v>
      </c>
      <c r="H181" s="21" t="s">
        <v>72</v>
      </c>
      <c r="I181" s="21" t="s">
        <v>72</v>
      </c>
    </row>
    <row r="182" spans="1:9" ht="16" thickBot="1" x14ac:dyDescent="0.25">
      <c r="A182" s="402" t="s">
        <v>436</v>
      </c>
      <c r="B182" s="403"/>
      <c r="C182" s="14" t="s">
        <v>72</v>
      </c>
      <c r="D182" s="14" t="s">
        <v>72</v>
      </c>
      <c r="E182" s="14" t="s">
        <v>72</v>
      </c>
      <c r="F182" s="14" t="s">
        <v>72</v>
      </c>
      <c r="G182" s="14" t="s">
        <v>72</v>
      </c>
      <c r="H182" s="14" t="s">
        <v>72</v>
      </c>
      <c r="I182" s="14" t="s">
        <v>72</v>
      </c>
    </row>
    <row r="183" spans="1:9" ht="16" thickBot="1" x14ac:dyDescent="0.25">
      <c r="A183" s="402" t="s">
        <v>437</v>
      </c>
      <c r="B183" s="403"/>
      <c r="C183" s="14" t="s">
        <v>72</v>
      </c>
      <c r="D183" s="14" t="s">
        <v>72</v>
      </c>
      <c r="E183" s="14" t="s">
        <v>72</v>
      </c>
      <c r="F183" s="14" t="s">
        <v>72</v>
      </c>
      <c r="G183" s="14" t="s">
        <v>72</v>
      </c>
      <c r="H183" s="14" t="s">
        <v>72</v>
      </c>
      <c r="I183" s="14" t="s">
        <v>72</v>
      </c>
    </row>
    <row r="184" spans="1:9" ht="16" thickBot="1" x14ac:dyDescent="0.25">
      <c r="A184" s="402" t="s">
        <v>438</v>
      </c>
      <c r="B184" s="403"/>
      <c r="C184" s="22" t="s">
        <v>72</v>
      </c>
      <c r="D184" s="22" t="s">
        <v>72</v>
      </c>
      <c r="E184" s="22" t="s">
        <v>72</v>
      </c>
      <c r="F184" s="22" t="s">
        <v>72</v>
      </c>
      <c r="G184" s="22" t="s">
        <v>72</v>
      </c>
      <c r="H184" s="22" t="s">
        <v>72</v>
      </c>
      <c r="I184" s="22" t="s">
        <v>72</v>
      </c>
    </row>
    <row r="185" spans="1:9" ht="16" thickBot="1" x14ac:dyDescent="0.25">
      <c r="A185" s="402" t="s">
        <v>439</v>
      </c>
      <c r="B185" s="403"/>
      <c r="C185" s="22" t="s">
        <v>72</v>
      </c>
      <c r="D185" s="22" t="s">
        <v>72</v>
      </c>
      <c r="E185" s="22" t="s">
        <v>72</v>
      </c>
      <c r="F185" s="22" t="s">
        <v>72</v>
      </c>
      <c r="G185" s="22" t="s">
        <v>72</v>
      </c>
      <c r="H185" s="22" t="s">
        <v>72</v>
      </c>
      <c r="I185" s="22" t="s">
        <v>72</v>
      </c>
    </row>
    <row r="186" spans="1:9" ht="16" thickBot="1" x14ac:dyDescent="0.25">
      <c r="A186" s="402" t="s">
        <v>440</v>
      </c>
      <c r="B186" s="403"/>
      <c r="C186" s="14" t="s">
        <v>72</v>
      </c>
      <c r="D186" s="14" t="s">
        <v>72</v>
      </c>
      <c r="E186" s="14" t="s">
        <v>72</v>
      </c>
      <c r="F186" s="14" t="s">
        <v>72</v>
      </c>
      <c r="G186" s="14" t="s">
        <v>72</v>
      </c>
      <c r="H186" s="14" t="s">
        <v>72</v>
      </c>
      <c r="I186" s="14" t="s">
        <v>72</v>
      </c>
    </row>
    <row r="187" spans="1:9" ht="16" thickBot="1" x14ac:dyDescent="0.25">
      <c r="A187" s="402" t="s">
        <v>441</v>
      </c>
      <c r="B187" s="403"/>
      <c r="C187" s="14" t="s">
        <v>72</v>
      </c>
      <c r="D187" s="14" t="s">
        <v>72</v>
      </c>
      <c r="E187" s="14" t="s">
        <v>72</v>
      </c>
      <c r="F187" s="14" t="s">
        <v>72</v>
      </c>
      <c r="G187" s="14" t="s">
        <v>72</v>
      </c>
      <c r="H187" s="14" t="s">
        <v>72</v>
      </c>
      <c r="I187" s="14" t="s">
        <v>72</v>
      </c>
    </row>
    <row r="188" spans="1:9" ht="16" thickBot="1" x14ac:dyDescent="0.25">
      <c r="A188" s="402" t="s">
        <v>442</v>
      </c>
      <c r="B188" s="403"/>
      <c r="C188" s="14" t="s">
        <v>72</v>
      </c>
      <c r="D188" s="14" t="s">
        <v>72</v>
      </c>
      <c r="E188" s="14" t="s">
        <v>72</v>
      </c>
      <c r="F188" s="14" t="s">
        <v>72</v>
      </c>
      <c r="G188" s="14" t="s">
        <v>72</v>
      </c>
      <c r="H188" s="14" t="s">
        <v>72</v>
      </c>
      <c r="I188" s="14" t="s">
        <v>72</v>
      </c>
    </row>
    <row r="189" spans="1:9" ht="16" thickBot="1" x14ac:dyDescent="0.25">
      <c r="A189" s="402" t="s">
        <v>443</v>
      </c>
      <c r="B189" s="403"/>
      <c r="C189" s="14" t="s">
        <v>72</v>
      </c>
      <c r="D189" s="14" t="s">
        <v>72</v>
      </c>
      <c r="E189" s="14" t="s">
        <v>72</v>
      </c>
      <c r="F189" s="14" t="s">
        <v>72</v>
      </c>
      <c r="G189" s="14" t="s">
        <v>72</v>
      </c>
      <c r="H189" s="14" t="s">
        <v>72</v>
      </c>
      <c r="I189" s="14" t="s">
        <v>72</v>
      </c>
    </row>
    <row r="190" spans="1:9" ht="16" thickBot="1" x14ac:dyDescent="0.25">
      <c r="A190" s="402" t="s">
        <v>444</v>
      </c>
      <c r="B190" s="403"/>
      <c r="C190" s="14" t="s">
        <v>72</v>
      </c>
      <c r="D190" s="14" t="s">
        <v>72</v>
      </c>
      <c r="E190" s="14" t="s">
        <v>72</v>
      </c>
      <c r="F190" s="14" t="s">
        <v>72</v>
      </c>
      <c r="G190" s="14" t="s">
        <v>72</v>
      </c>
      <c r="H190" s="14" t="s">
        <v>72</v>
      </c>
      <c r="I190" s="14" t="s">
        <v>72</v>
      </c>
    </row>
    <row r="191" spans="1:9" ht="16" thickBot="1" x14ac:dyDescent="0.25">
      <c r="A191" s="402" t="s">
        <v>445</v>
      </c>
      <c r="B191" s="403"/>
      <c r="C191" s="14" t="s">
        <v>72</v>
      </c>
      <c r="D191" s="14" t="s">
        <v>72</v>
      </c>
      <c r="E191" s="14" t="s">
        <v>72</v>
      </c>
      <c r="F191" s="14" t="s">
        <v>72</v>
      </c>
      <c r="G191" s="14" t="s">
        <v>72</v>
      </c>
      <c r="H191" s="14" t="s">
        <v>72</v>
      </c>
      <c r="I191" s="14" t="s">
        <v>72</v>
      </c>
    </row>
    <row r="192" spans="1:9" ht="16" thickBot="1" x14ac:dyDescent="0.25">
      <c r="A192" s="402" t="s">
        <v>446</v>
      </c>
      <c r="B192" s="403"/>
      <c r="C192" s="14" t="s">
        <v>72</v>
      </c>
      <c r="D192" s="14" t="s">
        <v>72</v>
      </c>
      <c r="E192" s="14" t="s">
        <v>72</v>
      </c>
      <c r="F192" s="14" t="s">
        <v>72</v>
      </c>
      <c r="G192" s="14" t="s">
        <v>72</v>
      </c>
      <c r="H192" s="14" t="s">
        <v>72</v>
      </c>
      <c r="I192" s="14" t="s">
        <v>72</v>
      </c>
    </row>
    <row r="193" spans="1:9" ht="16" thickBot="1" x14ac:dyDescent="0.25">
      <c r="A193" s="402" t="s">
        <v>447</v>
      </c>
      <c r="B193" s="403"/>
      <c r="C193" s="14" t="s">
        <v>72</v>
      </c>
      <c r="D193" s="14" t="s">
        <v>72</v>
      </c>
      <c r="E193" s="14" t="s">
        <v>72</v>
      </c>
      <c r="F193" s="14" t="s">
        <v>72</v>
      </c>
      <c r="G193" s="14" t="s">
        <v>72</v>
      </c>
      <c r="H193" s="14" t="s">
        <v>72</v>
      </c>
      <c r="I193" s="14" t="s">
        <v>72</v>
      </c>
    </row>
    <row r="194" spans="1:9" ht="16" thickBot="1" x14ac:dyDescent="0.25">
      <c r="A194" s="402" t="s">
        <v>448</v>
      </c>
      <c r="B194" s="403"/>
      <c r="C194" s="14" t="s">
        <v>72</v>
      </c>
      <c r="D194" s="14" t="s">
        <v>72</v>
      </c>
      <c r="E194" s="14" t="s">
        <v>72</v>
      </c>
      <c r="F194" s="14" t="s">
        <v>72</v>
      </c>
      <c r="G194" s="14" t="s">
        <v>72</v>
      </c>
      <c r="H194" s="14" t="s">
        <v>72</v>
      </c>
      <c r="I194" s="14" t="s">
        <v>72</v>
      </c>
    </row>
    <row r="195" spans="1:9" ht="16" thickBot="1" x14ac:dyDescent="0.25">
      <c r="A195" s="402" t="s">
        <v>288</v>
      </c>
      <c r="B195" s="403"/>
      <c r="C195" s="14" t="s">
        <v>72</v>
      </c>
      <c r="D195" s="14" t="s">
        <v>72</v>
      </c>
      <c r="E195" s="14" t="s">
        <v>72</v>
      </c>
      <c r="F195" s="14" t="s">
        <v>72</v>
      </c>
      <c r="G195" s="14" t="s">
        <v>72</v>
      </c>
      <c r="H195" s="14" t="s">
        <v>72</v>
      </c>
      <c r="I195" s="14" t="s">
        <v>72</v>
      </c>
    </row>
    <row r="196" spans="1:9" ht="16" thickBot="1" x14ac:dyDescent="0.25">
      <c r="A196" s="402" t="s">
        <v>449</v>
      </c>
      <c r="B196" s="403"/>
      <c r="C196" s="14">
        <v>247069</v>
      </c>
      <c r="D196" s="14">
        <v>380332</v>
      </c>
      <c r="E196" s="14">
        <v>479606</v>
      </c>
      <c r="F196" s="14">
        <v>356525</v>
      </c>
      <c r="G196" s="14">
        <v>90420</v>
      </c>
      <c r="H196" s="14">
        <v>510571</v>
      </c>
      <c r="I196" s="14">
        <v>575940</v>
      </c>
    </row>
    <row r="197" spans="1:9" x14ac:dyDescent="0.2">
      <c r="A197" s="404" t="s">
        <v>450</v>
      </c>
      <c r="B197" s="405"/>
      <c r="C197" s="14">
        <v>248774</v>
      </c>
      <c r="D197" s="14">
        <v>381416</v>
      </c>
      <c r="E197" s="14">
        <v>480387</v>
      </c>
      <c r="F197" s="14">
        <v>357361</v>
      </c>
      <c r="G197" s="14">
        <v>91792</v>
      </c>
      <c r="H197" s="14">
        <v>514382</v>
      </c>
      <c r="I197" s="14">
        <v>691226</v>
      </c>
    </row>
    <row r="198" spans="1:9" ht="12" customHeight="1" thickBot="1" x14ac:dyDescent="0.25">
      <c r="A198" s="406" t="s">
        <v>451</v>
      </c>
      <c r="B198" s="406"/>
      <c r="C198" s="12"/>
      <c r="D198" s="12"/>
      <c r="E198" s="12"/>
      <c r="F198" s="12"/>
      <c r="G198" s="12"/>
      <c r="H198" s="12"/>
      <c r="I198" s="12"/>
    </row>
    <row r="199" spans="1:9" ht="16" thickBot="1" x14ac:dyDescent="0.25">
      <c r="A199" s="407" t="s">
        <v>452</v>
      </c>
      <c r="B199" s="408"/>
      <c r="C199" s="16">
        <v>51877</v>
      </c>
      <c r="D199" s="16">
        <v>73196</v>
      </c>
      <c r="E199" s="16">
        <v>87028</v>
      </c>
      <c r="F199" s="16">
        <v>67876</v>
      </c>
      <c r="G199" s="16">
        <v>27475</v>
      </c>
      <c r="H199" s="16">
        <v>108125</v>
      </c>
      <c r="I199" s="16">
        <v>86687</v>
      </c>
    </row>
    <row r="200" spans="1:9" ht="16" thickBot="1" x14ac:dyDescent="0.25">
      <c r="A200" s="409" t="s">
        <v>452</v>
      </c>
      <c r="B200" s="410"/>
      <c r="C200" s="18">
        <v>51877</v>
      </c>
      <c r="D200" s="18">
        <v>73196</v>
      </c>
      <c r="E200" s="18">
        <v>87028</v>
      </c>
      <c r="F200" s="18">
        <v>67876</v>
      </c>
      <c r="G200" s="18">
        <v>27475</v>
      </c>
      <c r="H200" s="18">
        <v>108125</v>
      </c>
      <c r="I200" s="18">
        <v>86687</v>
      </c>
    </row>
    <row r="201" spans="1:9" ht="16" thickBot="1" x14ac:dyDescent="0.25">
      <c r="A201" s="407" t="s">
        <v>453</v>
      </c>
      <c r="B201" s="408"/>
      <c r="C201" s="16" t="s">
        <v>72</v>
      </c>
      <c r="D201" s="16" t="s">
        <v>72</v>
      </c>
      <c r="E201" s="16" t="s">
        <v>72</v>
      </c>
      <c r="F201" s="16">
        <v>6279</v>
      </c>
      <c r="G201" s="16">
        <v>-9264</v>
      </c>
      <c r="H201" s="16">
        <v>2116</v>
      </c>
      <c r="I201" s="16">
        <v>863</v>
      </c>
    </row>
    <row r="202" spans="1:9" ht="16" thickBot="1" x14ac:dyDescent="0.25">
      <c r="A202" s="409" t="s">
        <v>453</v>
      </c>
      <c r="B202" s="410"/>
      <c r="C202" s="18" t="s">
        <v>72</v>
      </c>
      <c r="D202" s="18" t="s">
        <v>72</v>
      </c>
      <c r="E202" s="18" t="s">
        <v>72</v>
      </c>
      <c r="F202" s="18">
        <v>6279</v>
      </c>
      <c r="G202" s="18">
        <v>-9264</v>
      </c>
      <c r="H202" s="18">
        <v>2116</v>
      </c>
      <c r="I202" s="18">
        <v>863</v>
      </c>
    </row>
    <row r="203" spans="1:9" ht="16" thickBot="1" x14ac:dyDescent="0.25">
      <c r="A203" s="402" t="s">
        <v>454</v>
      </c>
      <c r="B203" s="403"/>
      <c r="C203" s="14">
        <v>51877</v>
      </c>
      <c r="D203" s="14">
        <v>73196</v>
      </c>
      <c r="E203" s="14">
        <v>87028</v>
      </c>
      <c r="F203" s="14">
        <v>74155</v>
      </c>
      <c r="G203" s="14">
        <v>18211</v>
      </c>
      <c r="H203" s="14">
        <v>110242</v>
      </c>
      <c r="I203" s="14">
        <v>87549</v>
      </c>
    </row>
    <row r="204" spans="1:9" ht="16" thickBot="1" x14ac:dyDescent="0.25">
      <c r="A204" s="402" t="s">
        <v>455</v>
      </c>
      <c r="B204" s="403"/>
      <c r="C204" s="14" t="s">
        <v>72</v>
      </c>
      <c r="D204" s="14" t="s">
        <v>72</v>
      </c>
      <c r="E204" s="14" t="s">
        <v>72</v>
      </c>
      <c r="F204" s="14" t="s">
        <v>72</v>
      </c>
      <c r="G204" s="14" t="s">
        <v>72</v>
      </c>
      <c r="H204" s="14" t="s">
        <v>72</v>
      </c>
      <c r="I204" s="14" t="s">
        <v>72</v>
      </c>
    </row>
    <row r="205" spans="1:9" ht="16" thickBot="1" x14ac:dyDescent="0.25">
      <c r="A205" s="402" t="s">
        <v>456</v>
      </c>
      <c r="B205" s="403"/>
      <c r="C205" s="14" t="s">
        <v>72</v>
      </c>
      <c r="D205" s="14" t="s">
        <v>72</v>
      </c>
      <c r="E205" s="14" t="s">
        <v>72</v>
      </c>
      <c r="F205" s="14" t="s">
        <v>72</v>
      </c>
      <c r="G205" s="14" t="s">
        <v>72</v>
      </c>
      <c r="H205" s="14" t="s">
        <v>72</v>
      </c>
      <c r="I205" s="14" t="s">
        <v>72</v>
      </c>
    </row>
    <row r="206" spans="1:9" ht="16" thickBot="1" x14ac:dyDescent="0.25">
      <c r="A206" s="402" t="s">
        <v>457</v>
      </c>
      <c r="B206" s="403"/>
      <c r="C206" s="14" t="s">
        <v>72</v>
      </c>
      <c r="D206" s="14" t="s">
        <v>72</v>
      </c>
      <c r="E206" s="14" t="s">
        <v>72</v>
      </c>
      <c r="F206" s="14" t="s">
        <v>72</v>
      </c>
      <c r="G206" s="14" t="s">
        <v>72</v>
      </c>
      <c r="H206" s="14" t="s">
        <v>72</v>
      </c>
      <c r="I206" s="14" t="s">
        <v>72</v>
      </c>
    </row>
    <row r="207" spans="1:9" ht="16" thickBot="1" x14ac:dyDescent="0.25">
      <c r="A207" s="402" t="s">
        <v>458</v>
      </c>
      <c r="B207" s="403"/>
      <c r="C207" s="14" t="s">
        <v>72</v>
      </c>
      <c r="D207" s="14" t="s">
        <v>72</v>
      </c>
      <c r="E207" s="14" t="s">
        <v>72</v>
      </c>
      <c r="F207" s="14" t="s">
        <v>72</v>
      </c>
      <c r="G207" s="14" t="s">
        <v>72</v>
      </c>
      <c r="H207" s="14" t="s">
        <v>72</v>
      </c>
      <c r="I207" s="14" t="s">
        <v>72</v>
      </c>
    </row>
    <row r="208" spans="1:9" ht="16" thickBot="1" x14ac:dyDescent="0.25">
      <c r="A208" s="402" t="s">
        <v>459</v>
      </c>
      <c r="B208" s="403"/>
      <c r="C208" s="14" t="s">
        <v>72</v>
      </c>
      <c r="D208" s="14" t="s">
        <v>72</v>
      </c>
      <c r="E208" s="14" t="s">
        <v>72</v>
      </c>
      <c r="F208" s="14" t="s">
        <v>72</v>
      </c>
      <c r="G208" s="14" t="s">
        <v>72</v>
      </c>
      <c r="H208" s="14" t="s">
        <v>72</v>
      </c>
      <c r="I208" s="14" t="s">
        <v>72</v>
      </c>
    </row>
    <row r="209" spans="1:9" ht="16" thickBot="1" x14ac:dyDescent="0.25">
      <c r="A209" s="402" t="s">
        <v>460</v>
      </c>
      <c r="B209" s="403"/>
      <c r="C209" s="14" t="s">
        <v>72</v>
      </c>
      <c r="D209" s="14" t="s">
        <v>72</v>
      </c>
      <c r="E209" s="14" t="s">
        <v>72</v>
      </c>
      <c r="F209" s="14" t="s">
        <v>72</v>
      </c>
      <c r="G209" s="14" t="s">
        <v>72</v>
      </c>
      <c r="H209" s="14" t="s">
        <v>72</v>
      </c>
      <c r="I209" s="14" t="s">
        <v>72</v>
      </c>
    </row>
    <row r="210" spans="1:9" ht="16" thickBot="1" x14ac:dyDescent="0.25">
      <c r="A210" s="402" t="s">
        <v>461</v>
      </c>
      <c r="B210" s="403"/>
      <c r="C210" s="14" t="s">
        <v>72</v>
      </c>
      <c r="D210" s="14" t="s">
        <v>72</v>
      </c>
      <c r="E210" s="14" t="s">
        <v>72</v>
      </c>
      <c r="F210" s="14" t="s">
        <v>72</v>
      </c>
      <c r="G210" s="14" t="s">
        <v>72</v>
      </c>
      <c r="H210" s="14" t="s">
        <v>72</v>
      </c>
      <c r="I210" s="14" t="s">
        <v>72</v>
      </c>
    </row>
    <row r="211" spans="1:9" ht="16" thickBot="1" x14ac:dyDescent="0.25">
      <c r="A211" s="402" t="s">
        <v>462</v>
      </c>
      <c r="B211" s="403"/>
      <c r="C211" s="14" t="s">
        <v>72</v>
      </c>
      <c r="D211" s="14" t="s">
        <v>72</v>
      </c>
      <c r="E211" s="14" t="s">
        <v>72</v>
      </c>
      <c r="F211" s="14" t="s">
        <v>72</v>
      </c>
      <c r="G211" s="14" t="s">
        <v>72</v>
      </c>
      <c r="H211" s="14" t="s">
        <v>72</v>
      </c>
      <c r="I211" s="14" t="s">
        <v>72</v>
      </c>
    </row>
    <row r="212" spans="1:9" ht="16" thickBot="1" x14ac:dyDescent="0.25">
      <c r="A212" s="402" t="s">
        <v>463</v>
      </c>
      <c r="B212" s="403"/>
      <c r="C212" s="14" t="s">
        <v>72</v>
      </c>
      <c r="D212" s="14" t="s">
        <v>72</v>
      </c>
      <c r="E212" s="14" t="s">
        <v>72</v>
      </c>
      <c r="F212" s="14" t="s">
        <v>72</v>
      </c>
      <c r="G212" s="14" t="s">
        <v>72</v>
      </c>
      <c r="H212" s="14" t="s">
        <v>72</v>
      </c>
      <c r="I212" s="14" t="s">
        <v>72</v>
      </c>
    </row>
    <row r="213" spans="1:9" x14ac:dyDescent="0.2">
      <c r="A213" s="404" t="s">
        <v>464</v>
      </c>
      <c r="B213" s="405"/>
      <c r="C213" s="14" t="s">
        <v>72</v>
      </c>
      <c r="D213" s="14" t="s">
        <v>72</v>
      </c>
      <c r="E213" s="14" t="s">
        <v>72</v>
      </c>
      <c r="F213" s="14" t="s">
        <v>72</v>
      </c>
      <c r="G213" s="14" t="s">
        <v>72</v>
      </c>
      <c r="H213" s="14" t="s">
        <v>72</v>
      </c>
      <c r="I213" s="14" t="s">
        <v>72</v>
      </c>
    </row>
    <row r="214" spans="1:9" ht="16" thickBot="1" x14ac:dyDescent="0.25">
      <c r="A214" s="391" t="s">
        <v>465</v>
      </c>
      <c r="B214" s="391"/>
      <c r="C214" s="23"/>
      <c r="D214" s="23"/>
      <c r="E214" s="23"/>
      <c r="F214" s="23"/>
      <c r="G214" s="23"/>
      <c r="H214" s="23"/>
      <c r="I214" s="23"/>
    </row>
    <row r="215" spans="1:9" ht="16" thickBot="1" x14ac:dyDescent="0.25">
      <c r="A215" s="392" t="s">
        <v>466</v>
      </c>
      <c r="B215" s="393"/>
      <c r="C215" s="24"/>
      <c r="D215" s="24"/>
      <c r="E215" s="24"/>
      <c r="F215" s="24"/>
      <c r="G215" s="24"/>
      <c r="H215" s="24"/>
      <c r="I215" s="24"/>
    </row>
    <row r="216" spans="1:9" x14ac:dyDescent="0.2">
      <c r="A216" s="394" t="s">
        <v>467</v>
      </c>
      <c r="B216" s="395"/>
      <c r="C216" s="398" t="s">
        <v>72</v>
      </c>
      <c r="D216" s="389" t="s">
        <v>72</v>
      </c>
      <c r="E216" s="18" t="s">
        <v>468</v>
      </c>
      <c r="F216" s="18" t="s">
        <v>469</v>
      </c>
      <c r="G216" s="18" t="s">
        <v>470</v>
      </c>
      <c r="H216" s="18" t="s">
        <v>471</v>
      </c>
      <c r="I216" s="18" t="s">
        <v>471</v>
      </c>
    </row>
    <row r="217" spans="1:9" ht="16" thickBot="1" x14ac:dyDescent="0.25">
      <c r="A217" s="400"/>
      <c r="B217" s="401"/>
      <c r="C217" s="399"/>
      <c r="D217" s="390"/>
      <c r="E217" s="26" t="s">
        <v>472</v>
      </c>
      <c r="F217" s="26" t="s">
        <v>472</v>
      </c>
      <c r="G217" s="26" t="s">
        <v>472</v>
      </c>
      <c r="H217" s="26" t="s">
        <v>472</v>
      </c>
      <c r="I217" s="26" t="s">
        <v>472</v>
      </c>
    </row>
    <row r="218" spans="1:9" x14ac:dyDescent="0.2">
      <c r="A218" s="394" t="s">
        <v>473</v>
      </c>
      <c r="B218" s="395"/>
      <c r="C218" s="398" t="s">
        <v>72</v>
      </c>
      <c r="D218" s="389" t="s">
        <v>72</v>
      </c>
      <c r="E218" s="18" t="s">
        <v>474</v>
      </c>
      <c r="F218" s="389" t="s">
        <v>72</v>
      </c>
      <c r="G218" s="389" t="s">
        <v>72</v>
      </c>
      <c r="H218" s="18" t="s">
        <v>475</v>
      </c>
      <c r="I218" s="18" t="s">
        <v>474</v>
      </c>
    </row>
    <row r="219" spans="1:9" ht="16" thickBot="1" x14ac:dyDescent="0.25">
      <c r="A219" s="400"/>
      <c r="B219" s="401"/>
      <c r="C219" s="399"/>
      <c r="D219" s="390"/>
      <c r="E219" s="26" t="s">
        <v>472</v>
      </c>
      <c r="F219" s="390"/>
      <c r="G219" s="390"/>
      <c r="H219" s="26" t="s">
        <v>472</v>
      </c>
      <c r="I219" s="26" t="s">
        <v>472</v>
      </c>
    </row>
    <row r="220" spans="1:9" x14ac:dyDescent="0.2">
      <c r="A220" s="394" t="s">
        <v>476</v>
      </c>
      <c r="B220" s="395"/>
      <c r="C220" s="398" t="s">
        <v>72</v>
      </c>
      <c r="D220" s="389" t="s">
        <v>72</v>
      </c>
      <c r="E220" s="389" t="s">
        <v>72</v>
      </c>
      <c r="F220" s="18" t="s">
        <v>477</v>
      </c>
      <c r="G220" s="18" t="s">
        <v>478</v>
      </c>
      <c r="H220" s="18" t="s">
        <v>479</v>
      </c>
      <c r="I220" s="18" t="s">
        <v>479</v>
      </c>
    </row>
    <row r="221" spans="1:9" ht="16" thickBot="1" x14ac:dyDescent="0.25">
      <c r="A221" s="400"/>
      <c r="B221" s="401"/>
      <c r="C221" s="399"/>
      <c r="D221" s="390"/>
      <c r="E221" s="390"/>
      <c r="F221" s="26" t="s">
        <v>480</v>
      </c>
      <c r="G221" s="26" t="s">
        <v>481</v>
      </c>
      <c r="H221" s="26" t="s">
        <v>482</v>
      </c>
      <c r="I221" s="26" t="s">
        <v>483</v>
      </c>
    </row>
    <row r="222" spans="1:9" x14ac:dyDescent="0.2">
      <c r="A222" s="394" t="s">
        <v>473</v>
      </c>
      <c r="B222" s="395"/>
      <c r="C222" s="398" t="s">
        <v>72</v>
      </c>
      <c r="D222" s="389" t="s">
        <v>72</v>
      </c>
      <c r="E222" s="389" t="s">
        <v>72</v>
      </c>
      <c r="F222" s="18">
        <v>4.177083333333333</v>
      </c>
      <c r="G222" s="389" t="s">
        <v>72</v>
      </c>
      <c r="H222" s="389" t="s">
        <v>72</v>
      </c>
      <c r="I222" s="18">
        <v>8.4027777777777771E-2</v>
      </c>
    </row>
    <row r="223" spans="1:9" ht="16" thickBot="1" x14ac:dyDescent="0.25">
      <c r="A223" s="400"/>
      <c r="B223" s="401"/>
      <c r="C223" s="399"/>
      <c r="D223" s="390"/>
      <c r="E223" s="390"/>
      <c r="F223" s="26" t="s">
        <v>484</v>
      </c>
      <c r="G223" s="390"/>
      <c r="H223" s="390"/>
      <c r="I223" s="26" t="s">
        <v>485</v>
      </c>
    </row>
    <row r="224" spans="1:9" x14ac:dyDescent="0.2">
      <c r="A224" s="394" t="s">
        <v>486</v>
      </c>
      <c r="B224" s="395"/>
      <c r="C224" s="398" t="s">
        <v>72</v>
      </c>
      <c r="D224" s="389" t="s">
        <v>72</v>
      </c>
      <c r="E224" s="18">
        <v>0.42152777777777778</v>
      </c>
      <c r="F224" s="389" t="s">
        <v>72</v>
      </c>
      <c r="G224" s="389" t="s">
        <v>72</v>
      </c>
      <c r="H224" s="389" t="s">
        <v>72</v>
      </c>
      <c r="I224" s="389" t="s">
        <v>72</v>
      </c>
    </row>
    <row r="225" spans="1:9" x14ac:dyDescent="0.2">
      <c r="A225" s="396"/>
      <c r="B225" s="397"/>
      <c r="C225" s="399"/>
      <c r="D225" s="390"/>
      <c r="E225" s="26" t="s">
        <v>487</v>
      </c>
      <c r="F225" s="390"/>
      <c r="G225" s="390"/>
      <c r="H225" s="390"/>
      <c r="I225" s="390"/>
    </row>
    <row r="226" spans="1:9" ht="16" thickBot="1" x14ac:dyDescent="0.25">
      <c r="A226" s="391" t="s">
        <v>488</v>
      </c>
      <c r="B226" s="391"/>
      <c r="C226" s="27"/>
    </row>
    <row r="227" spans="1:9" ht="16" thickBot="1" x14ac:dyDescent="0.25">
      <c r="A227" s="392" t="s">
        <v>466</v>
      </c>
      <c r="B227" s="393"/>
      <c r="C227" s="24"/>
    </row>
    <row r="228" spans="1:9" ht="16" thickBot="1" x14ac:dyDescent="0.25">
      <c r="A228" s="28">
        <v>2023</v>
      </c>
      <c r="B228" s="25" t="s">
        <v>476</v>
      </c>
      <c r="C228" s="18" t="s">
        <v>489</v>
      </c>
    </row>
    <row r="229" spans="1:9" ht="16" thickBot="1" x14ac:dyDescent="0.25">
      <c r="A229" s="28"/>
      <c r="B229" s="25"/>
      <c r="C229" s="26" t="s">
        <v>480</v>
      </c>
    </row>
    <row r="230" spans="1:9" ht="16" thickBot="1" x14ac:dyDescent="0.25">
      <c r="A230" s="28"/>
      <c r="B230" s="25" t="s">
        <v>473</v>
      </c>
      <c r="C230" s="18" t="s">
        <v>490</v>
      </c>
    </row>
    <row r="231" spans="1:9" x14ac:dyDescent="0.2">
      <c r="A231" s="28"/>
      <c r="B231" s="25"/>
      <c r="C231" s="26" t="s">
        <v>491</v>
      </c>
    </row>
  </sheetData>
  <mergeCells count="21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47:B47"/>
    <mergeCell ref="A48:B48"/>
    <mergeCell ref="A49:B49"/>
    <mergeCell ref="A51:B51"/>
    <mergeCell ref="A52:B52"/>
    <mergeCell ref="A53:B53"/>
    <mergeCell ref="A29:B29"/>
    <mergeCell ref="A32:B32"/>
    <mergeCell ref="A33:B33"/>
    <mergeCell ref="A39:B39"/>
    <mergeCell ref="A45:B45"/>
    <mergeCell ref="A46:B46"/>
    <mergeCell ref="A60:B60"/>
    <mergeCell ref="A61:B61"/>
    <mergeCell ref="A63:B63"/>
    <mergeCell ref="A67:B67"/>
    <mergeCell ref="A68:B68"/>
    <mergeCell ref="A69:B69"/>
    <mergeCell ref="A54:B54"/>
    <mergeCell ref="A55:B55"/>
    <mergeCell ref="A56:B56"/>
    <mergeCell ref="A57:B57"/>
    <mergeCell ref="A58:B58"/>
    <mergeCell ref="A59:B59"/>
    <mergeCell ref="A78:B78"/>
    <mergeCell ref="A79:B79"/>
    <mergeCell ref="A80:B80"/>
    <mergeCell ref="A81:B81"/>
    <mergeCell ref="A82:B82"/>
    <mergeCell ref="A83:B83"/>
    <mergeCell ref="A70:B70"/>
    <mergeCell ref="A71:B71"/>
    <mergeCell ref="A72:B72"/>
    <mergeCell ref="A73:B73"/>
    <mergeCell ref="A74:B74"/>
    <mergeCell ref="A77:B77"/>
    <mergeCell ref="A96:B96"/>
    <mergeCell ref="A97:B97"/>
    <mergeCell ref="A98:B98"/>
    <mergeCell ref="A99:B99"/>
    <mergeCell ref="A100:B100"/>
    <mergeCell ref="A84:B84"/>
    <mergeCell ref="A85:B85"/>
    <mergeCell ref="A86:B86"/>
    <mergeCell ref="A87:B87"/>
    <mergeCell ref="A88:B88"/>
    <mergeCell ref="A89:B89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4:B144"/>
    <mergeCell ref="A145:B145"/>
    <mergeCell ref="A146:B146"/>
    <mergeCell ref="A147:B147"/>
    <mergeCell ref="A148:B148"/>
    <mergeCell ref="A149:B149"/>
    <mergeCell ref="A137:B137"/>
    <mergeCell ref="A138:B138"/>
    <mergeCell ref="A139:B139"/>
    <mergeCell ref="A140:B140"/>
    <mergeCell ref="A142:B142"/>
    <mergeCell ref="A143:B143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216:B217"/>
    <mergeCell ref="C216:C217"/>
    <mergeCell ref="D216:D217"/>
    <mergeCell ref="A218:B219"/>
    <mergeCell ref="C218:C219"/>
    <mergeCell ref="D218:D219"/>
    <mergeCell ref="A210:B210"/>
    <mergeCell ref="A211:B211"/>
    <mergeCell ref="A212:B212"/>
    <mergeCell ref="A213:B213"/>
    <mergeCell ref="A214:B214"/>
    <mergeCell ref="A215:B215"/>
    <mergeCell ref="A222:B223"/>
    <mergeCell ref="C222:C223"/>
    <mergeCell ref="D222:D223"/>
    <mergeCell ref="E222:E223"/>
    <mergeCell ref="G222:G223"/>
    <mergeCell ref="H222:H223"/>
    <mergeCell ref="F218:F219"/>
    <mergeCell ref="G218:G219"/>
    <mergeCell ref="A220:B221"/>
    <mergeCell ref="C220:C221"/>
    <mergeCell ref="D220:D221"/>
    <mergeCell ref="E220:E221"/>
    <mergeCell ref="I224:I225"/>
    <mergeCell ref="A226:B226"/>
    <mergeCell ref="A227:B227"/>
    <mergeCell ref="A224:B225"/>
    <mergeCell ref="C224:C225"/>
    <mergeCell ref="D224:D225"/>
    <mergeCell ref="F224:F225"/>
    <mergeCell ref="G224:G225"/>
    <mergeCell ref="H224:H2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0A11-5678-274E-A9A9-EB305005CABF}">
  <dimension ref="A1:BD227"/>
  <sheetViews>
    <sheetView zoomScale="75" workbookViewId="0">
      <selection activeCell="J45" sqref="J45"/>
    </sheetView>
  </sheetViews>
  <sheetFormatPr baseColWidth="10" defaultColWidth="8.83203125" defaultRowHeight="15" x14ac:dyDescent="0.2"/>
  <cols>
    <col min="1" max="1" width="8.5" customWidth="1"/>
    <col min="2" max="2" width="17.1640625" customWidth="1"/>
    <col min="3" max="4" width="28.5" hidden="1" customWidth="1"/>
    <col min="5" max="15" width="14.6640625" customWidth="1"/>
  </cols>
  <sheetData>
    <row r="1" spans="1:15" ht="27" thickBot="1" x14ac:dyDescent="0.35">
      <c r="A1" s="430" t="s">
        <v>905</v>
      </c>
      <c r="B1" s="430"/>
      <c r="C1" s="351">
        <v>2016</v>
      </c>
      <c r="D1" s="351">
        <v>2017</v>
      </c>
      <c r="E1" s="352">
        <v>2018</v>
      </c>
      <c r="F1" s="352">
        <v>2019</v>
      </c>
      <c r="G1" s="352">
        <v>2020</v>
      </c>
      <c r="H1" s="352">
        <v>2021</v>
      </c>
      <c r="I1" s="352">
        <v>2022</v>
      </c>
      <c r="J1" s="353" t="s">
        <v>579</v>
      </c>
      <c r="K1" s="353" t="s">
        <v>580</v>
      </c>
      <c r="L1" s="353" t="s">
        <v>581</v>
      </c>
      <c r="M1" s="353" t="s">
        <v>582</v>
      </c>
      <c r="N1" s="353" t="s">
        <v>583</v>
      </c>
      <c r="O1" s="353" t="s">
        <v>584</v>
      </c>
    </row>
    <row r="2" spans="1:15" ht="16" hidden="1" thickBot="1" x14ac:dyDescent="0.25">
      <c r="A2" s="431" t="s">
        <v>11</v>
      </c>
      <c r="B2" s="431"/>
      <c r="C2" s="355" t="s">
        <v>12</v>
      </c>
      <c r="D2" s="355" t="s">
        <v>13</v>
      </c>
      <c r="E2" s="355" t="s">
        <v>14</v>
      </c>
      <c r="F2" s="355" t="s">
        <v>15</v>
      </c>
      <c r="G2" s="355" t="s">
        <v>16</v>
      </c>
      <c r="H2" s="355" t="s">
        <v>17</v>
      </c>
      <c r="I2" s="355" t="s">
        <v>18</v>
      </c>
      <c r="J2" s="355" t="s">
        <v>14</v>
      </c>
      <c r="K2" s="355" t="s">
        <v>15</v>
      </c>
      <c r="L2" s="355" t="s">
        <v>15</v>
      </c>
      <c r="M2" s="355" t="s">
        <v>16</v>
      </c>
      <c r="N2" s="355" t="s">
        <v>17</v>
      </c>
      <c r="O2" s="355" t="s">
        <v>18</v>
      </c>
    </row>
    <row r="3" spans="1:15" ht="16" hidden="1" thickBot="1" x14ac:dyDescent="0.25">
      <c r="A3" s="431" t="s">
        <v>19</v>
      </c>
      <c r="B3" s="431"/>
      <c r="C3" s="355" t="s">
        <v>20</v>
      </c>
      <c r="D3" s="355" t="s">
        <v>20</v>
      </c>
      <c r="E3" s="355" t="s">
        <v>20</v>
      </c>
      <c r="F3" s="355" t="s">
        <v>20</v>
      </c>
      <c r="G3" s="355" t="s">
        <v>20</v>
      </c>
      <c r="H3" s="355" t="s">
        <v>20</v>
      </c>
      <c r="I3" s="355" t="s">
        <v>20</v>
      </c>
      <c r="J3" s="355" t="s">
        <v>22</v>
      </c>
      <c r="K3" s="355" t="s">
        <v>22</v>
      </c>
      <c r="L3" s="355" t="s">
        <v>23</v>
      </c>
      <c r="M3" s="355" t="s">
        <v>22</v>
      </c>
      <c r="N3" s="355" t="s">
        <v>22</v>
      </c>
      <c r="O3" s="355" t="s">
        <v>22</v>
      </c>
    </row>
    <row r="4" spans="1:15" ht="16" hidden="1" thickBot="1" x14ac:dyDescent="0.25">
      <c r="A4" s="431" t="s">
        <v>21</v>
      </c>
      <c r="B4" s="431"/>
      <c r="C4" s="355" t="s">
        <v>22</v>
      </c>
      <c r="D4" s="355" t="s">
        <v>22</v>
      </c>
      <c r="E4" s="355" t="s">
        <v>22</v>
      </c>
      <c r="F4" s="355" t="s">
        <v>22</v>
      </c>
      <c r="G4" s="355" t="s">
        <v>22</v>
      </c>
      <c r="H4" s="355" t="s">
        <v>22</v>
      </c>
      <c r="I4" s="355" t="s">
        <v>22</v>
      </c>
      <c r="J4" s="355" t="s">
        <v>14</v>
      </c>
      <c r="K4" s="355" t="s">
        <v>15</v>
      </c>
      <c r="L4" s="355" t="s">
        <v>16</v>
      </c>
      <c r="M4" s="355" t="s">
        <v>16</v>
      </c>
      <c r="N4" s="355" t="s">
        <v>17</v>
      </c>
      <c r="O4" s="355" t="s">
        <v>18</v>
      </c>
    </row>
    <row r="5" spans="1:15" ht="16" hidden="1" thickBot="1" x14ac:dyDescent="0.25">
      <c r="A5" s="431" t="s">
        <v>24</v>
      </c>
      <c r="B5" s="431"/>
      <c r="C5" s="355" t="s">
        <v>13</v>
      </c>
      <c r="D5" s="355" t="s">
        <v>13</v>
      </c>
      <c r="E5" s="355" t="s">
        <v>14</v>
      </c>
      <c r="F5" s="355" t="s">
        <v>15</v>
      </c>
      <c r="G5" s="355" t="s">
        <v>16</v>
      </c>
      <c r="H5" s="355" t="s">
        <v>17</v>
      </c>
      <c r="I5" s="355" t="s">
        <v>18</v>
      </c>
      <c r="J5" s="355" t="s">
        <v>26</v>
      </c>
      <c r="K5" s="355" t="s">
        <v>26</v>
      </c>
      <c r="L5" s="355" t="s">
        <v>26</v>
      </c>
      <c r="M5" s="355" t="s">
        <v>26</v>
      </c>
      <c r="N5" s="355" t="s">
        <v>26</v>
      </c>
      <c r="O5" s="355" t="s">
        <v>26</v>
      </c>
    </row>
    <row r="6" spans="1:15" ht="16" hidden="1" thickBot="1" x14ac:dyDescent="0.25">
      <c r="A6" s="431" t="s">
        <v>25</v>
      </c>
      <c r="B6" s="431"/>
      <c r="C6" s="355" t="s">
        <v>26</v>
      </c>
      <c r="D6" s="355" t="s">
        <v>26</v>
      </c>
      <c r="E6" s="355" t="s">
        <v>26</v>
      </c>
      <c r="F6" s="355" t="s">
        <v>26</v>
      </c>
      <c r="G6" s="355" t="s">
        <v>26</v>
      </c>
      <c r="H6" s="355" t="s">
        <v>26</v>
      </c>
      <c r="I6" s="355" t="s">
        <v>26</v>
      </c>
      <c r="J6" s="355" t="s">
        <v>30</v>
      </c>
      <c r="K6" s="355" t="s">
        <v>31</v>
      </c>
      <c r="L6" s="355" t="s">
        <v>31</v>
      </c>
      <c r="M6" s="355" t="s">
        <v>31</v>
      </c>
      <c r="N6" s="355" t="s">
        <v>31</v>
      </c>
      <c r="O6" s="355" t="s">
        <v>32</v>
      </c>
    </row>
    <row r="7" spans="1:15" ht="16" hidden="1" thickBot="1" x14ac:dyDescent="0.25">
      <c r="A7" s="431" t="s">
        <v>27</v>
      </c>
      <c r="B7" s="431"/>
      <c r="C7" s="355" t="s">
        <v>31</v>
      </c>
      <c r="D7" s="355" t="s">
        <v>31</v>
      </c>
      <c r="E7" s="355" t="s">
        <v>31</v>
      </c>
      <c r="F7" s="355" t="s">
        <v>31</v>
      </c>
      <c r="G7" s="355" t="s">
        <v>31</v>
      </c>
      <c r="H7" s="355" t="s">
        <v>31</v>
      </c>
      <c r="I7" s="355" t="s">
        <v>32</v>
      </c>
      <c r="J7" s="355" t="s">
        <v>34</v>
      </c>
      <c r="K7" s="355" t="s">
        <v>34</v>
      </c>
      <c r="L7" s="355" t="s">
        <v>34</v>
      </c>
      <c r="M7" s="355" t="s">
        <v>34</v>
      </c>
      <c r="N7" s="355" t="s">
        <v>34</v>
      </c>
      <c r="O7" s="355" t="s">
        <v>34</v>
      </c>
    </row>
    <row r="8" spans="1:15" ht="16" hidden="1" thickBot="1" x14ac:dyDescent="0.25">
      <c r="A8" s="431" t="s">
        <v>33</v>
      </c>
      <c r="B8" s="431"/>
      <c r="C8" s="355" t="s">
        <v>34</v>
      </c>
      <c r="D8" s="355" t="s">
        <v>34</v>
      </c>
      <c r="E8" s="355" t="s">
        <v>34</v>
      </c>
      <c r="F8" s="355" t="s">
        <v>34</v>
      </c>
      <c r="G8" s="355" t="s">
        <v>34</v>
      </c>
      <c r="H8" s="355" t="s">
        <v>34</v>
      </c>
      <c r="I8" s="355" t="s">
        <v>34</v>
      </c>
      <c r="J8" s="355" t="s">
        <v>36</v>
      </c>
      <c r="K8" s="355" t="s">
        <v>36</v>
      </c>
      <c r="L8" s="355" t="s">
        <v>36</v>
      </c>
      <c r="M8" s="355" t="s">
        <v>36</v>
      </c>
      <c r="N8" s="355" t="s">
        <v>36</v>
      </c>
      <c r="O8" s="355" t="s">
        <v>36</v>
      </c>
    </row>
    <row r="9" spans="1:15" ht="16" hidden="1" thickBot="1" x14ac:dyDescent="0.25">
      <c r="A9" s="431" t="s">
        <v>35</v>
      </c>
      <c r="B9" s="431"/>
      <c r="C9" s="355" t="s">
        <v>36</v>
      </c>
      <c r="D9" s="355" t="s">
        <v>36</v>
      </c>
      <c r="E9" s="355" t="s">
        <v>36</v>
      </c>
      <c r="F9" s="355" t="s">
        <v>36</v>
      </c>
      <c r="G9" s="355" t="s">
        <v>36</v>
      </c>
      <c r="H9" s="355" t="s">
        <v>36</v>
      </c>
      <c r="I9" s="355" t="s">
        <v>36</v>
      </c>
      <c r="J9" s="355" t="s">
        <v>39</v>
      </c>
      <c r="K9" s="355" t="s">
        <v>40</v>
      </c>
      <c r="L9" s="355" t="s">
        <v>41</v>
      </c>
      <c r="M9" s="355" t="s">
        <v>41</v>
      </c>
      <c r="N9" s="355" t="s">
        <v>42</v>
      </c>
      <c r="O9" s="355" t="s">
        <v>43</v>
      </c>
    </row>
    <row r="10" spans="1:15" ht="16" hidden="1" thickBot="1" x14ac:dyDescent="0.25">
      <c r="A10" s="431" t="s">
        <v>37</v>
      </c>
      <c r="B10" s="431"/>
      <c r="C10" s="355" t="s">
        <v>38</v>
      </c>
      <c r="D10" s="355" t="s">
        <v>38</v>
      </c>
      <c r="E10" s="355" t="s">
        <v>39</v>
      </c>
      <c r="F10" s="355" t="s">
        <v>40</v>
      </c>
      <c r="G10" s="355" t="s">
        <v>41</v>
      </c>
      <c r="H10" s="355" t="s">
        <v>42</v>
      </c>
      <c r="I10" s="355" t="s">
        <v>43</v>
      </c>
      <c r="J10" s="355" t="s">
        <v>47</v>
      </c>
      <c r="K10" s="355" t="s">
        <v>48</v>
      </c>
      <c r="L10" s="355" t="s">
        <v>49</v>
      </c>
      <c r="M10" s="355" t="s">
        <v>49</v>
      </c>
      <c r="N10" s="355" t="s">
        <v>50</v>
      </c>
      <c r="O10" s="355" t="s">
        <v>51</v>
      </c>
    </row>
    <row r="11" spans="1:15" ht="16" hidden="1" thickBot="1" x14ac:dyDescent="0.25">
      <c r="A11" s="431" t="s">
        <v>44</v>
      </c>
      <c r="B11" s="431"/>
      <c r="C11" s="355" t="s">
        <v>45</v>
      </c>
      <c r="D11" s="355" t="s">
        <v>46</v>
      </c>
      <c r="E11" s="355" t="s">
        <v>47</v>
      </c>
      <c r="F11" s="355" t="s">
        <v>48</v>
      </c>
      <c r="G11" s="355" t="s">
        <v>49</v>
      </c>
      <c r="H11" s="355" t="s">
        <v>50</v>
      </c>
      <c r="I11" s="355" t="s">
        <v>51</v>
      </c>
      <c r="J11" s="355" t="s">
        <v>53</v>
      </c>
      <c r="K11" s="355" t="s">
        <v>53</v>
      </c>
      <c r="L11" s="355" t="s">
        <v>53</v>
      </c>
      <c r="M11" s="355" t="s">
        <v>53</v>
      </c>
      <c r="N11" s="355" t="s">
        <v>53</v>
      </c>
      <c r="O11" s="355" t="s">
        <v>53</v>
      </c>
    </row>
    <row r="12" spans="1:15" ht="16" hidden="1" thickBot="1" x14ac:dyDescent="0.25">
      <c r="A12" s="431" t="s">
        <v>52</v>
      </c>
      <c r="B12" s="431"/>
      <c r="C12" s="355" t="s">
        <v>53</v>
      </c>
      <c r="D12" s="355" t="s">
        <v>53</v>
      </c>
      <c r="E12" s="355" t="s">
        <v>53</v>
      </c>
      <c r="F12" s="355" t="s">
        <v>53</v>
      </c>
      <c r="G12" s="355" t="s">
        <v>53</v>
      </c>
      <c r="H12" s="355" t="s">
        <v>53</v>
      </c>
      <c r="I12" s="355" t="s">
        <v>53</v>
      </c>
      <c r="J12" s="355" t="s">
        <v>55</v>
      </c>
      <c r="K12" s="355" t="s">
        <v>55</v>
      </c>
      <c r="L12" s="355" t="s">
        <v>55</v>
      </c>
      <c r="M12" s="355" t="s">
        <v>55</v>
      </c>
      <c r="N12" s="355" t="s">
        <v>55</v>
      </c>
      <c r="O12" s="355" t="s">
        <v>55</v>
      </c>
    </row>
    <row r="13" spans="1:15" ht="16" hidden="1" thickBot="1" x14ac:dyDescent="0.25">
      <c r="A13" s="431" t="s">
        <v>54</v>
      </c>
      <c r="B13" s="431"/>
      <c r="C13" s="355" t="s">
        <v>55</v>
      </c>
      <c r="D13" s="355" t="s">
        <v>55</v>
      </c>
      <c r="E13" s="355" t="s">
        <v>55</v>
      </c>
      <c r="F13" s="355" t="s">
        <v>55</v>
      </c>
      <c r="G13" s="355" t="s">
        <v>55</v>
      </c>
      <c r="H13" s="355" t="s">
        <v>55</v>
      </c>
      <c r="I13" s="355" t="s">
        <v>55</v>
      </c>
      <c r="J13" s="355" t="s">
        <v>57</v>
      </c>
      <c r="K13" s="355" t="s">
        <v>57</v>
      </c>
      <c r="L13" s="355" t="s">
        <v>57</v>
      </c>
      <c r="M13" s="355" t="s">
        <v>57</v>
      </c>
      <c r="N13" s="355" t="s">
        <v>57</v>
      </c>
      <c r="O13" s="355" t="s">
        <v>57</v>
      </c>
    </row>
    <row r="14" spans="1:15" ht="16" hidden="1" thickBot="1" x14ac:dyDescent="0.25">
      <c r="A14" s="431" t="s">
        <v>56</v>
      </c>
      <c r="B14" s="431"/>
      <c r="C14" s="355" t="s">
        <v>57</v>
      </c>
      <c r="D14" s="355" t="s">
        <v>57</v>
      </c>
      <c r="E14" s="355" t="s">
        <v>57</v>
      </c>
      <c r="F14" s="355" t="s">
        <v>57</v>
      </c>
      <c r="G14" s="355" t="s">
        <v>57</v>
      </c>
      <c r="H14" s="355" t="s">
        <v>57</v>
      </c>
      <c r="I14" s="355" t="s">
        <v>57</v>
      </c>
      <c r="J14" s="355" t="s">
        <v>59</v>
      </c>
      <c r="K14" s="355" t="s">
        <v>60</v>
      </c>
      <c r="L14" s="355" t="s">
        <v>60</v>
      </c>
      <c r="M14" s="355" t="s">
        <v>60</v>
      </c>
      <c r="N14" s="355" t="s">
        <v>61</v>
      </c>
      <c r="O14" s="355" t="s">
        <v>61</v>
      </c>
    </row>
    <row r="15" spans="1:15" ht="16" hidden="1" thickBot="1" x14ac:dyDescent="0.25">
      <c r="A15" s="431" t="s">
        <v>58</v>
      </c>
      <c r="B15" s="431"/>
      <c r="C15" s="355" t="s">
        <v>59</v>
      </c>
      <c r="D15" s="355" t="s">
        <v>59</v>
      </c>
      <c r="E15" s="355" t="s">
        <v>59</v>
      </c>
      <c r="F15" s="355" t="s">
        <v>60</v>
      </c>
      <c r="G15" s="355" t="s">
        <v>60</v>
      </c>
      <c r="H15" s="355" t="s">
        <v>61</v>
      </c>
      <c r="I15" s="355" t="s">
        <v>61</v>
      </c>
      <c r="J15" s="355" t="s">
        <v>63</v>
      </c>
      <c r="K15" s="355" t="s">
        <v>64</v>
      </c>
      <c r="L15" s="355" t="s">
        <v>64</v>
      </c>
      <c r="M15" s="355" t="s">
        <v>64</v>
      </c>
      <c r="N15" s="355" t="s">
        <v>64</v>
      </c>
      <c r="O15" s="355" t="s">
        <v>64</v>
      </c>
    </row>
    <row r="16" spans="1:15" ht="16" hidden="1" thickBot="1" x14ac:dyDescent="0.25">
      <c r="A16" s="431" t="s">
        <v>62</v>
      </c>
      <c r="B16" s="431"/>
      <c r="C16" s="355" t="s">
        <v>63</v>
      </c>
      <c r="D16" s="355" t="s">
        <v>63</v>
      </c>
      <c r="E16" s="355" t="s">
        <v>63</v>
      </c>
      <c r="F16" s="355" t="s">
        <v>64</v>
      </c>
      <c r="G16" s="355" t="s">
        <v>64</v>
      </c>
      <c r="H16" s="355" t="s">
        <v>64</v>
      </c>
      <c r="I16" s="355" t="s">
        <v>64</v>
      </c>
      <c r="J16" s="355" t="s">
        <v>66</v>
      </c>
      <c r="K16" s="355" t="s">
        <v>66</v>
      </c>
      <c r="L16" s="355" t="s">
        <v>66</v>
      </c>
      <c r="M16" s="355" t="s">
        <v>66</v>
      </c>
      <c r="N16" s="355" t="s">
        <v>66</v>
      </c>
      <c r="O16" s="355" t="s">
        <v>66</v>
      </c>
    </row>
    <row r="17" spans="1:56" ht="16" hidden="1" thickBot="1" x14ac:dyDescent="0.25">
      <c r="A17" s="431" t="s">
        <v>65</v>
      </c>
      <c r="B17" s="431"/>
      <c r="C17" s="355" t="s">
        <v>66</v>
      </c>
      <c r="D17" s="355" t="s">
        <v>66</v>
      </c>
      <c r="E17" s="355" t="s">
        <v>66</v>
      </c>
      <c r="F17" s="355" t="s">
        <v>66</v>
      </c>
      <c r="G17" s="355" t="s">
        <v>66</v>
      </c>
      <c r="H17" s="355" t="s">
        <v>66</v>
      </c>
      <c r="I17" s="355" t="s">
        <v>66</v>
      </c>
      <c r="J17" s="356"/>
      <c r="K17" s="356"/>
      <c r="L17" s="356"/>
      <c r="M17" s="356"/>
      <c r="N17" s="356"/>
      <c r="O17" s="356"/>
    </row>
    <row r="18" spans="1:56" s="55" customFormat="1" x14ac:dyDescent="0.2">
      <c r="A18" s="426" t="s">
        <v>310</v>
      </c>
      <c r="B18" s="426"/>
      <c r="C18" s="357">
        <v>10853155</v>
      </c>
      <c r="D18" s="357">
        <v>13146515</v>
      </c>
      <c r="E18" s="357">
        <v>15298335</v>
      </c>
      <c r="F18" s="357">
        <v>16633960</v>
      </c>
      <c r="G18" s="357">
        <v>14661417</v>
      </c>
      <c r="H18" s="357">
        <v>22494961</v>
      </c>
      <c r="I18" s="357">
        <v>30165801</v>
      </c>
      <c r="J18" s="357">
        <f>'Revenue breakdown'!G3</f>
        <v>38384189.300646394</v>
      </c>
      <c r="K18" s="357">
        <f>'Revenue breakdown'!H3</f>
        <v>41212985.466320142</v>
      </c>
      <c r="L18" s="357">
        <f>'Revenue breakdown'!I3</f>
        <v>44442665.924639285</v>
      </c>
      <c r="M18" s="357">
        <f>'Revenue breakdown'!J3</f>
        <v>48159574.816463418</v>
      </c>
      <c r="N18" s="357">
        <f>'Revenue breakdown'!K3</f>
        <v>51416923.319323778</v>
      </c>
      <c r="O18" s="357">
        <f>'Revenue breakdown'!L3</f>
        <v>55845116.590505674</v>
      </c>
      <c r="P18" s="14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 hidden="1" x14ac:dyDescent="0.2">
      <c r="A19" s="425" t="s">
        <v>311</v>
      </c>
      <c r="B19" s="425"/>
      <c r="C19" s="357">
        <v>11722218</v>
      </c>
      <c r="D19" s="357">
        <v>13795036</v>
      </c>
      <c r="E19" s="357">
        <v>15889646</v>
      </c>
      <c r="F19" s="357">
        <v>16988957</v>
      </c>
      <c r="G19" s="357">
        <v>14799953</v>
      </c>
      <c r="H19" s="357">
        <v>22619505</v>
      </c>
      <c r="I19" s="357">
        <v>30276711</v>
      </c>
      <c r="J19" s="357"/>
      <c r="K19" s="357"/>
      <c r="L19" s="357"/>
      <c r="M19" s="357"/>
      <c r="N19" s="357"/>
      <c r="O19" s="357"/>
    </row>
    <row r="20" spans="1:56" hidden="1" x14ac:dyDescent="0.2">
      <c r="A20" s="425" t="s">
        <v>312</v>
      </c>
      <c r="B20" s="425"/>
      <c r="C20" s="357">
        <v>-869062</v>
      </c>
      <c r="D20" s="357">
        <v>-648521</v>
      </c>
      <c r="E20" s="357">
        <v>-591311</v>
      </c>
      <c r="F20" s="357">
        <v>-354997</v>
      </c>
      <c r="G20" s="357">
        <v>-138536</v>
      </c>
      <c r="H20" s="357">
        <v>-124544</v>
      </c>
      <c r="I20" s="357">
        <v>-110910</v>
      </c>
      <c r="J20" s="357"/>
      <c r="K20" s="357"/>
      <c r="L20" s="357"/>
      <c r="M20" s="357"/>
      <c r="N20" s="357"/>
      <c r="O20" s="357"/>
    </row>
    <row r="21" spans="1:56" hidden="1" x14ac:dyDescent="0.2">
      <c r="A21" s="426" t="s">
        <v>313</v>
      </c>
      <c r="B21" s="426"/>
      <c r="C21" s="357" t="s">
        <v>72</v>
      </c>
      <c r="D21" s="357" t="s">
        <v>72</v>
      </c>
      <c r="E21" s="357" t="s">
        <v>72</v>
      </c>
      <c r="F21" s="357" t="s">
        <v>72</v>
      </c>
      <c r="G21" s="357" t="s">
        <v>72</v>
      </c>
      <c r="H21" s="357" t="s">
        <v>72</v>
      </c>
      <c r="I21" s="357" t="s">
        <v>72</v>
      </c>
      <c r="J21" s="357"/>
      <c r="K21" s="357"/>
      <c r="L21" s="357"/>
      <c r="M21" s="357"/>
      <c r="N21" s="357"/>
      <c r="O21" s="357"/>
    </row>
    <row r="22" spans="1:56" hidden="1" x14ac:dyDescent="0.2">
      <c r="A22" s="426" t="s">
        <v>314</v>
      </c>
      <c r="B22" s="426"/>
      <c r="C22" s="357">
        <v>10853155</v>
      </c>
      <c r="D22" s="357">
        <v>13146515</v>
      </c>
      <c r="E22" s="357">
        <v>15298335</v>
      </c>
      <c r="F22" s="357">
        <v>16633960</v>
      </c>
      <c r="G22" s="357">
        <v>14661417</v>
      </c>
      <c r="H22" s="357">
        <v>22494961</v>
      </c>
      <c r="I22" s="357">
        <v>30165801</v>
      </c>
      <c r="J22" s="357">
        <f>'Revenue breakdown'!G3</f>
        <v>38384189.300646394</v>
      </c>
      <c r="K22" s="357">
        <f>'Revenue breakdown'!H3</f>
        <v>41212985.466320142</v>
      </c>
      <c r="L22" s="357">
        <f>'Revenue breakdown'!I3</f>
        <v>44442665.924639285</v>
      </c>
      <c r="M22" s="357">
        <f>'Revenue breakdown'!J3</f>
        <v>48159574.816463418</v>
      </c>
      <c r="N22" s="357">
        <f>'Revenue breakdown'!K3</f>
        <v>51416923.319323778</v>
      </c>
      <c r="O22" s="357">
        <f>'Revenue breakdown'!L3</f>
        <v>55845116.590505674</v>
      </c>
    </row>
    <row r="23" spans="1:56" hidden="1" x14ac:dyDescent="0.2">
      <c r="A23" s="426" t="s">
        <v>315</v>
      </c>
      <c r="B23" s="426"/>
      <c r="C23" s="357">
        <v>9442776</v>
      </c>
      <c r="D23" s="357">
        <v>11330255</v>
      </c>
      <c r="E23" s="357">
        <v>13254725</v>
      </c>
      <c r="F23" s="357">
        <v>14522903</v>
      </c>
      <c r="G23" s="357">
        <v>12620415</v>
      </c>
      <c r="H23" s="357">
        <v>19343448</v>
      </c>
      <c r="I23" s="357">
        <v>25462623</v>
      </c>
      <c r="J23" s="357"/>
      <c r="K23" s="357"/>
      <c r="L23" s="357"/>
      <c r="M23" s="357"/>
      <c r="N23" s="357"/>
      <c r="O23" s="357"/>
    </row>
    <row r="24" spans="1:56" s="55" customFormat="1" x14ac:dyDescent="0.2">
      <c r="A24" s="425" t="s">
        <v>594</v>
      </c>
      <c r="B24" s="425"/>
      <c r="C24" s="357">
        <v>9442776</v>
      </c>
      <c r="D24" s="357">
        <v>11330255</v>
      </c>
      <c r="E24" s="357">
        <v>13254725</v>
      </c>
      <c r="F24" s="357">
        <v>14522903</v>
      </c>
      <c r="G24" s="357">
        <v>12620415</v>
      </c>
      <c r="H24" s="357">
        <v>19343448</v>
      </c>
      <c r="I24" s="357">
        <v>25462623</v>
      </c>
      <c r="J24" s="357">
        <f>J25*'Revenue breakdown'!G3</f>
        <v>32399674.761594854</v>
      </c>
      <c r="K24" s="357">
        <f>K25*'Revenue breakdown'!H3</f>
        <v>35294454.546744555</v>
      </c>
      <c r="L24" s="357">
        <f>L25*'Revenue breakdown'!I3</f>
        <v>37911923.455914542</v>
      </c>
      <c r="M24" s="357">
        <f>M25*'Revenue breakdown'!J3</f>
        <v>41008104.683829993</v>
      </c>
      <c r="N24" s="357">
        <f>N25*'Revenue breakdown'!K3</f>
        <v>43695406.062559783</v>
      </c>
      <c r="O24" s="357">
        <f>O25*'Revenue breakdown'!L3</f>
        <v>47522665.937645428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s="55" customFormat="1" x14ac:dyDescent="0.2">
      <c r="A25" s="358"/>
      <c r="B25" s="358" t="s">
        <v>700</v>
      </c>
      <c r="C25" s="357"/>
      <c r="D25" s="357"/>
      <c r="E25" s="359">
        <f>E24/E22</f>
        <v>0.86641618189168956</v>
      </c>
      <c r="F25" s="359">
        <f>F24/F22</f>
        <v>0.87308752696291203</v>
      </c>
      <c r="G25" s="359">
        <f>G24/G22</f>
        <v>0.86079094537724421</v>
      </c>
      <c r="H25" s="359">
        <f>H24/H22</f>
        <v>0.85990137969121172</v>
      </c>
      <c r="I25" s="359">
        <f>I24/I22</f>
        <v>0.84408907292068924</v>
      </c>
      <c r="J25" s="359">
        <f>I25</f>
        <v>0.84408907292068924</v>
      </c>
      <c r="K25" s="359">
        <f>AVERAGE(F25:J25)</f>
        <v>0.85639159957454924</v>
      </c>
      <c r="L25" s="359">
        <f t="shared" ref="L25:O25" si="0">AVERAGE(G25:K25)</f>
        <v>0.85305241409687671</v>
      </c>
      <c r="M25" s="359">
        <f t="shared" si="0"/>
        <v>0.85150470784080334</v>
      </c>
      <c r="N25" s="359">
        <f t="shared" si="0"/>
        <v>0.84982537347072162</v>
      </c>
      <c r="O25" s="359">
        <f t="shared" si="0"/>
        <v>0.85097263358072817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 s="55" customFormat="1" hidden="1" x14ac:dyDescent="0.2">
      <c r="A26" s="358"/>
      <c r="B26" s="358"/>
      <c r="C26" s="357"/>
      <c r="D26" s="357"/>
      <c r="E26" s="359">
        <f>(E24-D24)/D24</f>
        <v>0.16985231135574619</v>
      </c>
      <c r="F26" s="359">
        <f>(F24-E24)/E24</f>
        <v>9.56774282378548E-2</v>
      </c>
      <c r="G26" s="359">
        <f t="shared" ref="G26:I26" si="1">(G24-F24)/F24</f>
        <v>-0.13099915354388858</v>
      </c>
      <c r="H26" s="359">
        <f t="shared" si="1"/>
        <v>0.53271092907800577</v>
      </c>
      <c r="I26" s="359">
        <f t="shared" si="1"/>
        <v>0.31634354950575511</v>
      </c>
      <c r="J26" s="359"/>
      <c r="K26" s="359"/>
      <c r="L26" s="359"/>
      <c r="M26" s="359"/>
      <c r="N26" s="359"/>
      <c r="O26" s="359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 s="55" customFormat="1" x14ac:dyDescent="0.2">
      <c r="A27" s="426" t="s">
        <v>316</v>
      </c>
      <c r="B27" s="426"/>
      <c r="C27" s="357">
        <v>1410379</v>
      </c>
      <c r="D27" s="357">
        <v>1816260</v>
      </c>
      <c r="E27" s="357">
        <f t="shared" ref="E27:O27" si="2">E22-E24</f>
        <v>2043610</v>
      </c>
      <c r="F27" s="357">
        <f t="shared" si="2"/>
        <v>2111057</v>
      </c>
      <c r="G27" s="357">
        <f t="shared" si="2"/>
        <v>2041002</v>
      </c>
      <c r="H27" s="357">
        <f t="shared" si="2"/>
        <v>3151513</v>
      </c>
      <c r="I27" s="357">
        <f t="shared" si="2"/>
        <v>4703178</v>
      </c>
      <c r="J27" s="357">
        <f t="shared" si="2"/>
        <v>5984514.5390515402</v>
      </c>
      <c r="K27" s="357">
        <f t="shared" si="2"/>
        <v>5918530.9195755869</v>
      </c>
      <c r="L27" s="357">
        <f t="shared" si="2"/>
        <v>6530742.4687247425</v>
      </c>
      <c r="M27" s="357">
        <f t="shared" si="2"/>
        <v>7151470.1326334253</v>
      </c>
      <c r="N27" s="357">
        <f t="shared" si="2"/>
        <v>7721517.2567639947</v>
      </c>
      <c r="O27" s="357">
        <f t="shared" si="2"/>
        <v>8322450.6528602466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 s="55" customFormat="1" hidden="1" x14ac:dyDescent="0.2">
      <c r="A28" s="429" t="s">
        <v>593</v>
      </c>
      <c r="B28" s="429"/>
      <c r="C28" s="360"/>
      <c r="D28" s="360"/>
      <c r="E28" s="361">
        <v>13325966</v>
      </c>
      <c r="F28" s="361">
        <v>14522902</v>
      </c>
      <c r="G28" s="361">
        <v>12620414</v>
      </c>
      <c r="H28" s="361">
        <v>19343448</v>
      </c>
      <c r="I28" s="361">
        <v>25462623</v>
      </c>
      <c r="J28" s="357"/>
      <c r="K28" s="357"/>
      <c r="L28" s="357"/>
      <c r="M28" s="357"/>
      <c r="N28" s="357"/>
      <c r="O28" s="357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 s="55" customFormat="1" ht="16" thickBot="1" x14ac:dyDescent="0.25">
      <c r="A29" s="360"/>
      <c r="B29" s="360" t="s">
        <v>702</v>
      </c>
      <c r="C29" s="360"/>
      <c r="D29" s="360"/>
      <c r="E29" s="361">
        <f>E27*'Revenue breakdown'!B8</f>
        <v>1997523.5827526329</v>
      </c>
      <c r="F29" s="361">
        <f>F27*'Revenue breakdown'!C8</f>
        <v>2046232.139372224</v>
      </c>
      <c r="G29" s="361">
        <f>G27*'Revenue breakdown'!D8</f>
        <v>1875943.2160243448</v>
      </c>
      <c r="H29" s="361">
        <f>H27*'Revenue breakdown'!E8</f>
        <v>2599961.8238759781</v>
      </c>
      <c r="I29" s="361">
        <f>I27*'Revenue breakdown'!F8</f>
        <v>3225614.5095753302</v>
      </c>
      <c r="J29" s="357">
        <f>J30*'Revenue breakdown'!G6</f>
        <v>2789753.7833345458</v>
      </c>
      <c r="K29" s="357">
        <f>K30*'Revenue breakdown'!H6</f>
        <v>2860057.5485237786</v>
      </c>
      <c r="L29" s="357">
        <f>L30*'Revenue breakdown'!I6</f>
        <v>2975297.3080561114</v>
      </c>
      <c r="M29" s="357">
        <f>M30*'Revenue breakdown'!J6</f>
        <v>3085391.2649611589</v>
      </c>
      <c r="N29" s="357">
        <f>N30*'Revenue breakdown'!K6</f>
        <v>3161760.6193636633</v>
      </c>
      <c r="O29" s="357">
        <f>O30*'Revenue breakdown'!L6</f>
        <v>3387524.6960969605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 s="55" customFormat="1" x14ac:dyDescent="0.2">
      <c r="A30" s="360"/>
      <c r="B30" s="362" t="s">
        <v>700</v>
      </c>
      <c r="C30" s="360"/>
      <c r="D30" s="360"/>
      <c r="E30" s="359">
        <f>E29/E18</f>
        <v>0.13057130614231111</v>
      </c>
      <c r="F30" s="359">
        <f>F29/F18</f>
        <v>0.12301533365309428</v>
      </c>
      <c r="G30" s="359">
        <f>G29/G18</f>
        <v>0.12795101701454537</v>
      </c>
      <c r="H30" s="359">
        <f>H29/H18</f>
        <v>0.11557974356461334</v>
      </c>
      <c r="I30" s="359">
        <f>I29/I18</f>
        <v>0.10692951629480452</v>
      </c>
      <c r="J30" s="363">
        <f>AVERAGE(E30:I30)</f>
        <v>0.12080938333387373</v>
      </c>
      <c r="K30" s="359">
        <f t="shared" ref="K30:O30" si="3">AVERAGE(F30:J30)</f>
        <v>0.11885699877218622</v>
      </c>
      <c r="L30" s="363">
        <f t="shared" si="3"/>
        <v>0.11802533179600463</v>
      </c>
      <c r="M30" s="359">
        <f t="shared" si="3"/>
        <v>0.11604019475229647</v>
      </c>
      <c r="N30" s="359">
        <f t="shared" si="3"/>
        <v>0.11613228498983311</v>
      </c>
      <c r="O30" s="359">
        <f t="shared" si="3"/>
        <v>0.11797283872883883</v>
      </c>
      <c r="P30" s="349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 s="55" customFormat="1" x14ac:dyDescent="0.2">
      <c r="A31" s="360"/>
      <c r="B31" s="360" t="s">
        <v>636</v>
      </c>
      <c r="C31" s="360"/>
      <c r="D31" s="360"/>
      <c r="E31" s="361">
        <f>E27*'Revenue breakdown'!B15</f>
        <v>46086.417247367121</v>
      </c>
      <c r="F31" s="361">
        <f>F27*'Revenue breakdown'!C15</f>
        <v>64824.733715302915</v>
      </c>
      <c r="G31" s="361">
        <f>G27*'Revenue breakdown'!D15</f>
        <v>165775.71060696247</v>
      </c>
      <c r="H31" s="361">
        <f>H27*'Revenue breakdown'!E15</f>
        <v>557198.55150866904</v>
      </c>
      <c r="I31" s="361">
        <f>I27*'Revenue breakdown'!F15</f>
        <v>1496112.2134192954</v>
      </c>
      <c r="J31" s="357">
        <f>J32*'Revenue breakdown'!G12</f>
        <v>283155.17150631692</v>
      </c>
      <c r="K31" s="357">
        <f>K32*'Revenue breakdown'!H12</f>
        <v>370737.33057146845</v>
      </c>
      <c r="L31" s="357">
        <f>L32*'Revenue breakdown'!I12</f>
        <v>483947.05176927021</v>
      </c>
      <c r="M31" s="357">
        <f>M32*'Revenue breakdown'!J12</f>
        <v>602516.48973691312</v>
      </c>
      <c r="N31" s="357">
        <f>N32*'Revenue breakdown'!K12</f>
        <v>691022.77856265637</v>
      </c>
      <c r="O31" s="357">
        <f>O32*'Revenue breakdown'!L12</f>
        <v>660862.26140006038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 s="55" customFormat="1" x14ac:dyDescent="0.2">
      <c r="A32" s="360"/>
      <c r="B32" s="362" t="s">
        <v>624</v>
      </c>
      <c r="C32" s="360"/>
      <c r="D32" s="360"/>
      <c r="E32" s="359">
        <f>E31/E18</f>
        <v>3.0125119659993797E-3</v>
      </c>
      <c r="F32" s="359">
        <f>F31/F18</f>
        <v>3.8971317542727596E-3</v>
      </c>
      <c r="G32" s="359">
        <f>G31/G18</f>
        <v>1.1306936471895075E-2</v>
      </c>
      <c r="H32" s="359">
        <f>H31/H18</f>
        <v>2.4769927429910594E-2</v>
      </c>
      <c r="I32" s="359">
        <f>I31/I18</f>
        <v>4.9596303224943218E-2</v>
      </c>
      <c r="J32" s="364">
        <f>AVERAGE(E32:I32)</f>
        <v>1.8516562169404206E-2</v>
      </c>
      <c r="K32" s="359">
        <f t="shared" ref="K32:O32" si="4">AVERAGE(F32:J32)</f>
        <v>2.1617372210085167E-2</v>
      </c>
      <c r="L32" s="363">
        <f t="shared" si="4"/>
        <v>2.5161420301247649E-2</v>
      </c>
      <c r="M32" s="359">
        <f t="shared" si="4"/>
        <v>2.7932317067118167E-2</v>
      </c>
      <c r="N32" s="364">
        <f t="shared" si="4"/>
        <v>2.8564794994559679E-2</v>
      </c>
      <c r="O32" s="359">
        <f t="shared" si="4"/>
        <v>2.4358493348482974E-2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 s="55" customFormat="1" x14ac:dyDescent="0.2">
      <c r="A33" s="360"/>
      <c r="B33" s="360" t="s">
        <v>701</v>
      </c>
      <c r="C33" s="360"/>
      <c r="D33" s="360"/>
      <c r="E33" s="359">
        <f t="shared" ref="E33:O33" si="5">E27/E22</f>
        <v>0.13358381810831049</v>
      </c>
      <c r="F33" s="359">
        <f t="shared" si="5"/>
        <v>0.12691247303708797</v>
      </c>
      <c r="G33" s="359">
        <f t="shared" si="5"/>
        <v>0.13920905462275576</v>
      </c>
      <c r="H33" s="359">
        <f t="shared" si="5"/>
        <v>0.14009862030878828</v>
      </c>
      <c r="I33" s="359">
        <f t="shared" si="5"/>
        <v>0.15591092707931078</v>
      </c>
      <c r="J33" s="364">
        <f t="shared" si="5"/>
        <v>0.15591092707931076</v>
      </c>
      <c r="K33" s="364">
        <f t="shared" si="5"/>
        <v>0.14360840042545078</v>
      </c>
      <c r="L33" s="364">
        <f t="shared" si="5"/>
        <v>0.14694758590312332</v>
      </c>
      <c r="M33" s="364">
        <f t="shared" si="5"/>
        <v>0.14849529215919666</v>
      </c>
      <c r="N33" s="364">
        <f t="shared" si="5"/>
        <v>0.1501746265292784</v>
      </c>
      <c r="O33" s="364">
        <f t="shared" si="5"/>
        <v>0.14902736641927186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 s="55" customFormat="1" x14ac:dyDescent="0.2">
      <c r="A34" s="426" t="s">
        <v>317</v>
      </c>
      <c r="B34" s="426"/>
      <c r="C34" s="357">
        <v>1180366</v>
      </c>
      <c r="D34" s="357">
        <v>1454296</v>
      </c>
      <c r="E34" s="357">
        <v>1583114</v>
      </c>
      <c r="F34" s="357">
        <v>1768320</v>
      </c>
      <c r="G34" s="357">
        <v>1935903</v>
      </c>
      <c r="H34" s="357">
        <v>2656653</v>
      </c>
      <c r="I34" s="357">
        <v>4146636</v>
      </c>
      <c r="J34" s="357">
        <f t="shared" ref="J34:O34" si="6">J37*J18</f>
        <v>4961021.4138848651</v>
      </c>
      <c r="K34" s="357">
        <f t="shared" si="6"/>
        <v>5309552.5681383852</v>
      </c>
      <c r="L34" s="357">
        <f t="shared" si="6"/>
        <v>5942836.7634142833</v>
      </c>
      <c r="M34" s="357">
        <f t="shared" si="6"/>
        <v>6379781.9611718133</v>
      </c>
      <c r="N34" s="357">
        <f t="shared" si="6"/>
        <v>6913568.7722332375</v>
      </c>
      <c r="O34" s="357">
        <f t="shared" si="6"/>
        <v>7577439.6470100051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 s="55" customFormat="1" x14ac:dyDescent="0.2">
      <c r="A35" s="356"/>
      <c r="B35" s="356" t="s">
        <v>702</v>
      </c>
      <c r="C35" s="357"/>
      <c r="D35" s="357"/>
      <c r="E35" s="359">
        <f>E34*'Revenue breakdown'!B8/E18</f>
        <v>0.10114907577873404</v>
      </c>
      <c r="F35" s="359">
        <f>F34*'Revenue breakdown'!C8/F18</f>
        <v>0.10304339238847632</v>
      </c>
      <c r="G35" s="359">
        <f>G34*'Revenue breakdown'!D8/G18</f>
        <v>0.12136232972408133</v>
      </c>
      <c r="H35" s="359">
        <f>H34*'Revenue breakdown'!E8/H18</f>
        <v>9.7431066437029049E-2</v>
      </c>
      <c r="I35" s="359">
        <f>I34*'Revenue breakdown'!F8/I18</f>
        <v>9.4276206796898396E-2</v>
      </c>
      <c r="J35" s="359">
        <f>AVERAGE(E35:I35)</f>
        <v>0.10345241422504384</v>
      </c>
      <c r="K35" s="359">
        <f t="shared" ref="K35:O35" si="7">AVERAGE(F35:J35)</f>
        <v>0.10391308191430579</v>
      </c>
      <c r="L35" s="359">
        <f t="shared" si="7"/>
        <v>0.10408701981947169</v>
      </c>
      <c r="M35" s="359">
        <f t="shared" si="7"/>
        <v>0.10063195783854975</v>
      </c>
      <c r="N35" s="359">
        <f t="shared" si="7"/>
        <v>0.10127213611885388</v>
      </c>
      <c r="O35" s="359">
        <f t="shared" si="7"/>
        <v>0.10267132198324498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 s="55" customFormat="1" x14ac:dyDescent="0.2">
      <c r="A36" s="356"/>
      <c r="B36" s="356" t="s">
        <v>636</v>
      </c>
      <c r="C36" s="357"/>
      <c r="D36" s="357"/>
      <c r="E36" s="359">
        <f>E34*'Revenue breakdown'!B15/'FPT Digital Retail JSC | Income'!E23</f>
        <v>2.3336888489198728E-3</v>
      </c>
      <c r="F36" s="359">
        <f>F34*'Revenue breakdown'!C15/'FPT Digital Retail JSC | Income'!F23</f>
        <v>3.2644196834645421E-3</v>
      </c>
      <c r="G36" s="359">
        <f>G34*'Revenue breakdown'!D15/'FPT Digital Retail JSC | Income'!G23</f>
        <v>1.0724699062887293E-2</v>
      </c>
      <c r="H36" s="359">
        <f>H34*'Revenue breakdown'!E15/'FPT Digital Retail JSC | Income'!H23</f>
        <v>2.0880479317855982E-2</v>
      </c>
      <c r="I36" s="359">
        <f>I34*'Revenue breakdown'!F15/'FPT Digital Retail JSC | Income'!I23</f>
        <v>4.3727415041375353E-2</v>
      </c>
      <c r="J36" s="359">
        <f>AVERAGE(E36:I36)*(100%+'Revenue breakdown'!G17)</f>
        <v>2.5794067315242895E-2</v>
      </c>
      <c r="K36" s="359">
        <f>AVERAGE(F36:J36)*(100%+'Revenue breakdown'!H17)</f>
        <v>2.4918947798208725E-2</v>
      </c>
      <c r="L36" s="359">
        <f>AVERAGE(G36:K36)*(100%+'Revenue breakdown'!I17)</f>
        <v>2.963215835700081E-2</v>
      </c>
      <c r="M36" s="359">
        <f>AVERAGE(H36:L36)*(100%+'Revenue breakdown'!J17)</f>
        <v>3.1839767368436002E-2</v>
      </c>
      <c r="N36" s="359">
        <f>AVERAGE(I36:M36)*(100%+'Revenue breakdown'!K17)</f>
        <v>3.3188821984311036E-2</v>
      </c>
      <c r="O36" s="359">
        <f>AVERAGE(J36:N36)*(100%+'Revenue breakdown'!L17)</f>
        <v>3.3015379193743137E-2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 s="55" customFormat="1" x14ac:dyDescent="0.2">
      <c r="A37" s="356"/>
      <c r="B37" s="356" t="s">
        <v>624</v>
      </c>
      <c r="C37" s="357"/>
      <c r="D37" s="357"/>
      <c r="E37" s="359">
        <f>E34/E18</f>
        <v>0.10348276462765392</v>
      </c>
      <c r="F37" s="359">
        <f>F34/F18</f>
        <v>0.1063078184629517</v>
      </c>
      <c r="G37" s="359">
        <f>G34/G18</f>
        <v>0.13204064791281769</v>
      </c>
      <c r="H37" s="359">
        <f>H34/H18</f>
        <v>0.11809991579892049</v>
      </c>
      <c r="I37" s="359">
        <f>I34/I18</f>
        <v>0.13746149157451512</v>
      </c>
      <c r="J37" s="359">
        <f>SUM(J35:J36)</f>
        <v>0.12924648154028673</v>
      </c>
      <c r="K37" s="359">
        <f t="shared" ref="K37:O37" si="8">SUM(K35:K36)</f>
        <v>0.12883202971251451</v>
      </c>
      <c r="L37" s="359">
        <f t="shared" si="8"/>
        <v>0.1337191781764725</v>
      </c>
      <c r="M37" s="359">
        <f t="shared" si="8"/>
        <v>0.13247172520698575</v>
      </c>
      <c r="N37" s="359">
        <f t="shared" si="8"/>
        <v>0.13446095810316491</v>
      </c>
      <c r="O37" s="359">
        <f t="shared" si="8"/>
        <v>0.13568670117698811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s="55" customFormat="1" hidden="1" x14ac:dyDescent="0.2">
      <c r="A38" s="356"/>
      <c r="B38" s="356"/>
      <c r="C38" s="357"/>
      <c r="D38" s="357"/>
      <c r="E38" s="359">
        <f>E25+E37</f>
        <v>0.9698989465193435</v>
      </c>
      <c r="F38" s="359">
        <f>F25+F37</f>
        <v>0.97939534542586371</v>
      </c>
      <c r="G38" s="359">
        <f>G25+G37</f>
        <v>0.99283159329006188</v>
      </c>
      <c r="H38" s="359">
        <f>H25+H37</f>
        <v>0.97800129549013226</v>
      </c>
      <c r="I38" s="359">
        <f>I25+I37</f>
        <v>0.98155056449520439</v>
      </c>
      <c r="J38" s="359">
        <f>SUM(J37,J25)</f>
        <v>0.97333555446097597</v>
      </c>
      <c r="K38" s="359">
        <f t="shared" ref="K38:O38" si="9">SUM(K37,K25)</f>
        <v>0.98522362928706375</v>
      </c>
      <c r="L38" s="359">
        <f t="shared" si="9"/>
        <v>0.98677159227334921</v>
      </c>
      <c r="M38" s="359">
        <f t="shared" si="9"/>
        <v>0.98397643304778915</v>
      </c>
      <c r="N38" s="359">
        <f t="shared" si="9"/>
        <v>0.98428633157388656</v>
      </c>
      <c r="O38" s="359">
        <f t="shared" si="9"/>
        <v>0.98665933475771628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1:56" s="55" customFormat="1" hidden="1" x14ac:dyDescent="0.2">
      <c r="A39" s="356"/>
      <c r="B39" s="356"/>
      <c r="C39" s="357"/>
      <c r="D39" s="357"/>
      <c r="E39" s="359">
        <f t="shared" ref="E39:O39" si="10">E34/E27</f>
        <v>0.77466542050586951</v>
      </c>
      <c r="F39" s="359">
        <f t="shared" si="10"/>
        <v>0.83764673336627105</v>
      </c>
      <c r="G39" s="359">
        <f t="shared" si="10"/>
        <v>0.94850617490820688</v>
      </c>
      <c r="H39" s="359">
        <f t="shared" si="10"/>
        <v>0.84297700818622678</v>
      </c>
      <c r="I39" s="359">
        <f t="shared" si="10"/>
        <v>0.88166682188086443</v>
      </c>
      <c r="J39" s="359">
        <f t="shared" si="10"/>
        <v>0.82897641596691918</v>
      </c>
      <c r="K39" s="359">
        <f t="shared" si="10"/>
        <v>0.89710650164502792</v>
      </c>
      <c r="L39" s="359">
        <f t="shared" si="10"/>
        <v>0.90997873394550499</v>
      </c>
      <c r="M39" s="359">
        <f t="shared" si="10"/>
        <v>0.89209377132958134</v>
      </c>
      <c r="N39" s="359">
        <f t="shared" si="10"/>
        <v>0.8953640252732713</v>
      </c>
      <c r="O39" s="359">
        <f t="shared" si="10"/>
        <v>0.91048177550993381</v>
      </c>
      <c r="P39" s="34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hidden="1" x14ac:dyDescent="0.2">
      <c r="A40" s="425" t="s">
        <v>318</v>
      </c>
      <c r="B40" s="425"/>
      <c r="C40" s="357">
        <v>653541</v>
      </c>
      <c r="D40" s="357">
        <v>808222</v>
      </c>
      <c r="E40" s="357">
        <v>935387</v>
      </c>
      <c r="F40" s="357">
        <v>984520</v>
      </c>
      <c r="G40" s="357">
        <v>1049295</v>
      </c>
      <c r="H40" s="357">
        <v>1101041</v>
      </c>
      <c r="I40" s="357">
        <v>1842001</v>
      </c>
      <c r="J40" s="359"/>
      <c r="K40" s="357"/>
      <c r="L40" s="357"/>
      <c r="M40" s="357"/>
      <c r="N40" s="357"/>
      <c r="O40" s="357"/>
    </row>
    <row r="41" spans="1:56" hidden="1" x14ac:dyDescent="0.2">
      <c r="A41" s="425" t="s">
        <v>319</v>
      </c>
      <c r="B41" s="425"/>
      <c r="C41" s="357">
        <v>526826</v>
      </c>
      <c r="D41" s="357">
        <v>646073</v>
      </c>
      <c r="E41" s="357">
        <v>647727</v>
      </c>
      <c r="F41" s="357">
        <v>783800</v>
      </c>
      <c r="G41" s="357">
        <v>886608</v>
      </c>
      <c r="H41" s="357">
        <v>1365500</v>
      </c>
      <c r="I41" s="357">
        <v>1957142</v>
      </c>
      <c r="J41" s="357"/>
      <c r="K41" s="357"/>
      <c r="L41" s="357"/>
      <c r="M41" s="357"/>
      <c r="N41" s="357"/>
      <c r="O41" s="357"/>
    </row>
    <row r="42" spans="1:56" hidden="1" x14ac:dyDescent="0.2">
      <c r="A42" s="425" t="s">
        <v>320</v>
      </c>
      <c r="B42" s="425"/>
      <c r="C42" s="357" t="s">
        <v>72</v>
      </c>
      <c r="D42" s="357" t="s">
        <v>72</v>
      </c>
      <c r="E42" s="357" t="s">
        <v>72</v>
      </c>
      <c r="F42" s="357" t="s">
        <v>72</v>
      </c>
      <c r="G42" s="357" t="s">
        <v>72</v>
      </c>
      <c r="H42" s="357">
        <v>190112</v>
      </c>
      <c r="I42" s="357">
        <v>347493</v>
      </c>
      <c r="J42" s="357"/>
      <c r="K42" s="357"/>
      <c r="L42" s="357"/>
      <c r="M42" s="357"/>
      <c r="N42" s="357"/>
      <c r="O42" s="357"/>
    </row>
    <row r="43" spans="1:56" hidden="1" x14ac:dyDescent="0.2">
      <c r="A43" s="426" t="s">
        <v>321</v>
      </c>
      <c r="B43" s="426"/>
      <c r="C43" s="357" t="s">
        <v>72</v>
      </c>
      <c r="D43" s="357" t="s">
        <v>72</v>
      </c>
      <c r="E43" s="357" t="s">
        <v>72</v>
      </c>
      <c r="F43" s="357" t="s">
        <v>72</v>
      </c>
      <c r="G43" s="357" t="s">
        <v>72</v>
      </c>
      <c r="H43" s="357" t="s">
        <v>72</v>
      </c>
      <c r="I43" s="357" t="s">
        <v>72</v>
      </c>
      <c r="J43" s="357"/>
      <c r="K43" s="357"/>
      <c r="L43" s="357"/>
      <c r="M43" s="357"/>
      <c r="N43" s="357"/>
      <c r="O43" s="357"/>
    </row>
    <row r="44" spans="1:56" s="55" customFormat="1" x14ac:dyDescent="0.2">
      <c r="A44" s="426" t="s">
        <v>322</v>
      </c>
      <c r="B44" s="426"/>
      <c r="C44" s="357" t="s">
        <v>72</v>
      </c>
      <c r="D44" s="357" t="s">
        <v>72</v>
      </c>
      <c r="E44" s="357">
        <v>781</v>
      </c>
      <c r="F44" s="357">
        <v>837</v>
      </c>
      <c r="G44" s="357">
        <v>1372</v>
      </c>
      <c r="H44" s="357">
        <v>3811</v>
      </c>
      <c r="I44" s="357">
        <v>115286</v>
      </c>
      <c r="J44" s="357">
        <f>J18*J45</f>
        <v>146694.58462960491</v>
      </c>
      <c r="K44" s="357">
        <f t="shared" ref="K44:O44" si="11">K18*K45</f>
        <v>157505.52231217676</v>
      </c>
      <c r="L44" s="357">
        <f t="shared" si="11"/>
        <v>169848.53754713706</v>
      </c>
      <c r="M44" s="357">
        <f t="shared" si="11"/>
        <v>184053.61562554899</v>
      </c>
      <c r="N44" s="357">
        <f t="shared" si="11"/>
        <v>196502.37107218074</v>
      </c>
      <c r="O44" s="357">
        <f t="shared" si="11"/>
        <v>213425.79669119479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s="55" customFormat="1" x14ac:dyDescent="0.2">
      <c r="A45" s="356"/>
      <c r="B45" s="356"/>
      <c r="C45" s="357"/>
      <c r="D45" s="357"/>
      <c r="E45" s="365">
        <f>E44/'Revenue breakdown'!B3</f>
        <v>5.1051307217419415E-5</v>
      </c>
      <c r="F45" s="365">
        <f>F44/'Revenue breakdown'!C3</f>
        <v>5.0318745506181332E-5</v>
      </c>
      <c r="G45" s="365">
        <f>G44/'Revenue breakdown'!D3</f>
        <v>9.3578949428967199E-5</v>
      </c>
      <c r="H45" s="365">
        <f>H44/'Revenue breakdown'!E3</f>
        <v>1.6941571936932899E-4</v>
      </c>
      <c r="I45" s="365">
        <f>I44/'Revenue breakdown'!F3</f>
        <v>3.8217450284181082E-3</v>
      </c>
      <c r="J45" s="365">
        <f>'Revenue breakdown'!G25</f>
        <v>3.8217450284181082E-3</v>
      </c>
      <c r="K45" s="365">
        <f>'Revenue breakdown'!H25</f>
        <v>3.8217450284181082E-3</v>
      </c>
      <c r="L45" s="365">
        <f>'Revenue breakdown'!I25</f>
        <v>3.8217450284181082E-3</v>
      </c>
      <c r="M45" s="365">
        <f>'Revenue breakdown'!J25</f>
        <v>3.8217450284181082E-3</v>
      </c>
      <c r="N45" s="365">
        <f>'Revenue breakdown'!K25</f>
        <v>3.8217450284181082E-3</v>
      </c>
      <c r="O45" s="365">
        <f>'Revenue breakdown'!L25</f>
        <v>3.82174502841811E-3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s="55" customFormat="1" hidden="1" x14ac:dyDescent="0.2">
      <c r="A46" s="426" t="s">
        <v>323</v>
      </c>
      <c r="B46" s="426"/>
      <c r="C46" s="357">
        <v>73839</v>
      </c>
      <c r="D46" s="357">
        <v>78951</v>
      </c>
      <c r="E46" s="357">
        <v>95671</v>
      </c>
      <c r="F46" s="357">
        <v>135183</v>
      </c>
      <c r="G46" s="357">
        <v>113682</v>
      </c>
      <c r="H46" s="357">
        <v>132229</v>
      </c>
      <c r="I46" s="357">
        <v>231528</v>
      </c>
      <c r="J46" s="359"/>
      <c r="K46" s="357"/>
      <c r="L46" s="357"/>
      <c r="M46" s="357"/>
      <c r="N46" s="357"/>
      <c r="O46" s="357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1:56" hidden="1" x14ac:dyDescent="0.2">
      <c r="A47" s="425" t="s">
        <v>324</v>
      </c>
      <c r="B47" s="425"/>
      <c r="C47" s="357">
        <v>73839</v>
      </c>
      <c r="D47" s="357">
        <v>78951</v>
      </c>
      <c r="E47" s="357">
        <v>95671</v>
      </c>
      <c r="F47" s="357">
        <v>135183</v>
      </c>
      <c r="G47" s="357">
        <v>113682</v>
      </c>
      <c r="H47" s="357">
        <v>132229</v>
      </c>
      <c r="I47" s="357">
        <v>231528</v>
      </c>
      <c r="J47" s="360"/>
      <c r="K47" s="360"/>
      <c r="L47" s="360"/>
      <c r="M47" s="360"/>
      <c r="N47" s="360"/>
      <c r="O47" s="360"/>
    </row>
    <row r="48" spans="1:56" hidden="1" x14ac:dyDescent="0.2">
      <c r="A48" s="426" t="s">
        <v>325</v>
      </c>
      <c r="B48" s="426"/>
      <c r="C48" s="357">
        <v>-56338</v>
      </c>
      <c r="D48" s="357">
        <v>-32858</v>
      </c>
      <c r="E48" s="357">
        <v>-18853</v>
      </c>
      <c r="F48" s="357">
        <v>-51481</v>
      </c>
      <c r="G48" s="357">
        <v>-37582</v>
      </c>
      <c r="H48" s="357">
        <v>-167854</v>
      </c>
      <c r="I48" s="357">
        <v>-129556</v>
      </c>
      <c r="J48" s="356"/>
      <c r="K48" s="356"/>
      <c r="L48" s="356"/>
      <c r="M48" s="356"/>
      <c r="N48" s="356"/>
      <c r="O48" s="356"/>
    </row>
    <row r="49" spans="1:56" hidden="1" x14ac:dyDescent="0.2">
      <c r="A49" s="425" t="s">
        <v>326</v>
      </c>
      <c r="B49" s="425"/>
      <c r="C49" s="357">
        <v>-54495</v>
      </c>
      <c r="D49" s="357">
        <v>-35206</v>
      </c>
      <c r="E49" s="357">
        <v>-20946</v>
      </c>
      <c r="F49" s="357">
        <v>-61193</v>
      </c>
      <c r="G49" s="357">
        <v>-55871</v>
      </c>
      <c r="H49" s="357">
        <v>-169344</v>
      </c>
      <c r="I49" s="357">
        <v>-147691</v>
      </c>
      <c r="J49" s="357"/>
      <c r="K49" s="357"/>
      <c r="L49" s="357"/>
      <c r="M49" s="357"/>
      <c r="N49" s="357"/>
      <c r="O49" s="357"/>
    </row>
    <row r="50" spans="1:56" hidden="1" x14ac:dyDescent="0.2">
      <c r="A50" s="425" t="s">
        <v>327</v>
      </c>
      <c r="B50" s="425"/>
      <c r="C50" s="357">
        <v>-1842</v>
      </c>
      <c r="D50" s="357">
        <v>2348</v>
      </c>
      <c r="E50" s="357">
        <v>2094</v>
      </c>
      <c r="F50" s="357">
        <v>9712</v>
      </c>
      <c r="G50" s="357">
        <v>18289</v>
      </c>
      <c r="H50" s="357">
        <v>1490</v>
      </c>
      <c r="I50" s="357">
        <v>18135</v>
      </c>
      <c r="J50" s="357"/>
      <c r="K50" s="357"/>
      <c r="L50" s="357"/>
      <c r="M50" s="357"/>
      <c r="N50" s="357"/>
      <c r="O50" s="357"/>
    </row>
    <row r="51" spans="1:56" hidden="1" x14ac:dyDescent="0.2">
      <c r="A51" s="426" t="s">
        <v>328</v>
      </c>
      <c r="B51" s="426"/>
      <c r="C51" s="357" t="s">
        <v>72</v>
      </c>
      <c r="D51" s="357" t="s">
        <v>72</v>
      </c>
      <c r="E51" s="357" t="s">
        <v>72</v>
      </c>
      <c r="F51" s="357" t="s">
        <v>72</v>
      </c>
      <c r="G51" s="357" t="s">
        <v>72</v>
      </c>
      <c r="H51" s="357" t="s">
        <v>72</v>
      </c>
      <c r="I51" s="357" t="s">
        <v>72</v>
      </c>
      <c r="J51" s="357"/>
      <c r="K51" s="357"/>
      <c r="L51" s="357"/>
      <c r="M51" s="357"/>
      <c r="N51" s="357"/>
      <c r="O51" s="357"/>
    </row>
    <row r="52" spans="1:56" hidden="1" x14ac:dyDescent="0.2">
      <c r="A52" s="426" t="s">
        <v>329</v>
      </c>
      <c r="B52" s="426"/>
      <c r="C52" s="357">
        <v>17501</v>
      </c>
      <c r="D52" s="357">
        <v>46093</v>
      </c>
      <c r="E52" s="357">
        <v>76818</v>
      </c>
      <c r="F52" s="357">
        <v>83702</v>
      </c>
      <c r="G52" s="357">
        <v>76101</v>
      </c>
      <c r="H52" s="357">
        <v>-35625</v>
      </c>
      <c r="I52" s="357">
        <v>101972</v>
      </c>
      <c r="J52" s="357"/>
      <c r="K52" s="357"/>
      <c r="L52" s="357"/>
      <c r="M52" s="357"/>
      <c r="N52" s="357"/>
      <c r="O52" s="357"/>
    </row>
    <row r="53" spans="1:56" hidden="1" x14ac:dyDescent="0.2">
      <c r="A53" s="426" t="s">
        <v>330</v>
      </c>
      <c r="B53" s="426"/>
      <c r="C53" s="357" t="s">
        <v>72</v>
      </c>
      <c r="D53" s="357" t="s">
        <v>72</v>
      </c>
      <c r="E53" s="357" t="s">
        <v>72</v>
      </c>
      <c r="F53" s="357" t="s">
        <v>72</v>
      </c>
      <c r="G53" s="357" t="s">
        <v>72</v>
      </c>
      <c r="H53" s="357" t="s">
        <v>72</v>
      </c>
      <c r="I53" s="357" t="s">
        <v>72</v>
      </c>
      <c r="J53" s="357"/>
      <c r="K53" s="357"/>
      <c r="L53" s="357"/>
      <c r="M53" s="357"/>
      <c r="N53" s="357"/>
      <c r="O53" s="357"/>
    </row>
    <row r="54" spans="1:56" hidden="1" x14ac:dyDescent="0.2">
      <c r="A54" s="426" t="s">
        <v>331</v>
      </c>
      <c r="B54" s="426"/>
      <c r="C54" s="357">
        <v>-17056</v>
      </c>
      <c r="D54" s="357">
        <v>-18367</v>
      </c>
      <c r="E54" s="357">
        <v>-19111</v>
      </c>
      <c r="F54" s="357">
        <v>-13787</v>
      </c>
      <c r="G54" s="357">
        <v>14680</v>
      </c>
      <c r="H54" s="357">
        <v>-15711</v>
      </c>
      <c r="I54" s="357">
        <v>-19399</v>
      </c>
      <c r="J54" s="357"/>
      <c r="K54" s="357"/>
      <c r="L54" s="357"/>
      <c r="M54" s="357"/>
      <c r="N54" s="357"/>
      <c r="O54" s="357"/>
    </row>
    <row r="55" spans="1:56" hidden="1" x14ac:dyDescent="0.2">
      <c r="A55" s="426" t="s">
        <v>331</v>
      </c>
      <c r="B55" s="426"/>
      <c r="C55" s="357">
        <v>-17056</v>
      </c>
      <c r="D55" s="357">
        <v>-18367</v>
      </c>
      <c r="E55" s="357">
        <v>-19111</v>
      </c>
      <c r="F55" s="357">
        <v>-13787</v>
      </c>
      <c r="G55" s="357">
        <v>14680</v>
      </c>
      <c r="H55" s="357">
        <v>-15711</v>
      </c>
      <c r="I55" s="357">
        <v>-19399</v>
      </c>
      <c r="J55" s="357"/>
      <c r="K55" s="357"/>
      <c r="L55" s="357"/>
      <c r="M55" s="357"/>
      <c r="N55" s="357"/>
      <c r="O55" s="357"/>
    </row>
    <row r="56" spans="1:56" hidden="1" x14ac:dyDescent="0.2">
      <c r="A56" s="426" t="s">
        <v>333</v>
      </c>
      <c r="B56" s="426"/>
      <c r="C56" s="357">
        <v>10623588</v>
      </c>
      <c r="D56" s="357">
        <v>12812276</v>
      </c>
      <c r="E56" s="357">
        <v>14895546</v>
      </c>
      <c r="F56" s="357">
        <v>16361137</v>
      </c>
      <c r="G56" s="357">
        <v>14647098</v>
      </c>
      <c r="H56" s="357">
        <v>21948766</v>
      </c>
      <c r="I56" s="357">
        <v>29691833</v>
      </c>
      <c r="J56" s="357"/>
      <c r="K56" s="357"/>
      <c r="L56" s="357"/>
      <c r="M56" s="357"/>
      <c r="N56" s="357"/>
      <c r="O56" s="357"/>
    </row>
    <row r="57" spans="1:56" hidden="1" x14ac:dyDescent="0.2">
      <c r="A57" s="356"/>
      <c r="B57" s="356" t="s">
        <v>749</v>
      </c>
      <c r="C57" s="357"/>
      <c r="D57" s="357"/>
      <c r="E57" s="359">
        <f>(E56-D56)/D56</f>
        <v>0.16259952564243854</v>
      </c>
      <c r="F57" s="359">
        <f>(F56-E56)/E56</f>
        <v>9.8391223792669305E-2</v>
      </c>
      <c r="G57" s="359">
        <f t="shared" ref="G57:I57" si="12">(G56-F56)/F56</f>
        <v>-0.10476282913589685</v>
      </c>
      <c r="H57" s="359">
        <f t="shared" si="12"/>
        <v>0.49850612046154125</v>
      </c>
      <c r="I57" s="359">
        <f t="shared" si="12"/>
        <v>0.35277914940639488</v>
      </c>
      <c r="J57" s="357"/>
      <c r="K57" s="357"/>
      <c r="L57" s="357"/>
      <c r="M57" s="357"/>
      <c r="N57" s="357"/>
      <c r="O57" s="357"/>
    </row>
    <row r="58" spans="1:56" s="55" customFormat="1" x14ac:dyDescent="0.2">
      <c r="A58" s="426" t="s">
        <v>592</v>
      </c>
      <c r="B58" s="426"/>
      <c r="C58" s="357">
        <v>229567</v>
      </c>
      <c r="D58" s="357">
        <v>334239</v>
      </c>
      <c r="E58" s="357">
        <v>402788</v>
      </c>
      <c r="F58" s="357">
        <v>272823</v>
      </c>
      <c r="G58" s="357">
        <v>14319</v>
      </c>
      <c r="H58" s="357">
        <v>546196</v>
      </c>
      <c r="I58" s="357">
        <v>473968</v>
      </c>
      <c r="J58" s="357">
        <f>J61*'Revenue breakdown'!G3</f>
        <v>642551.34901221748</v>
      </c>
      <c r="K58" s="357">
        <f>K61*'Revenue breakdown'!H3</f>
        <v>610868.14244514517</v>
      </c>
      <c r="L58" s="357">
        <f>L61*'Revenue breakdown'!I3</f>
        <v>644701.16381907545</v>
      </c>
      <c r="M58" s="357">
        <f>M61*'Revenue breakdown'!J3</f>
        <v>828937.00210359471</v>
      </c>
      <c r="N58" s="357">
        <f>N61*'Revenue breakdown'!K3</f>
        <v>812315.18345037743</v>
      </c>
      <c r="O58" s="357">
        <f>O61*'Revenue breakdown'!L3</f>
        <v>883240.52137081628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1:56" s="55" customFormat="1" hidden="1" x14ac:dyDescent="0.2">
      <c r="A59" s="356"/>
      <c r="B59" s="356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1:56" s="55" customFormat="1" x14ac:dyDescent="0.2">
      <c r="A60" s="356"/>
      <c r="B60" s="366" t="s">
        <v>623</v>
      </c>
      <c r="C60" s="357"/>
      <c r="D60" s="357"/>
      <c r="E60" s="359">
        <f>(E58-D58)/D58</f>
        <v>0.20508977109194318</v>
      </c>
      <c r="F60" s="359">
        <f>(F58-E58)/E58</f>
        <v>-0.32266353515993523</v>
      </c>
      <c r="G60" s="359">
        <f t="shared" ref="G60:J60" si="13">(G58-F58)/F58</f>
        <v>-0.94751542208684747</v>
      </c>
      <c r="H60" s="359">
        <f t="shared" si="13"/>
        <v>37.14484251693554</v>
      </c>
      <c r="I60" s="359">
        <f t="shared" si="13"/>
        <v>-0.13223824414678981</v>
      </c>
      <c r="J60" s="359">
        <f t="shared" si="13"/>
        <v>0.35568508636071949</v>
      </c>
      <c r="K60" s="359">
        <f>(K58-J58)/J58</f>
        <v>-4.9308442999580232E-2</v>
      </c>
      <c r="L60" s="359">
        <f t="shared" ref="L60:O60" si="14">(L58-K58)/K58</f>
        <v>5.5385146192933797E-2</v>
      </c>
      <c r="M60" s="359">
        <f t="shared" si="14"/>
        <v>0.28576935892769995</v>
      </c>
      <c r="N60" s="359">
        <f t="shared" si="14"/>
        <v>-2.0051968498252665E-2</v>
      </c>
      <c r="O60" s="359">
        <f t="shared" si="14"/>
        <v>8.7312584284313724E-2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1:56" s="55" customFormat="1" x14ac:dyDescent="0.2">
      <c r="A61" s="356"/>
      <c r="B61" s="366" t="s">
        <v>624</v>
      </c>
      <c r="C61" s="357"/>
      <c r="D61" s="357"/>
      <c r="E61" s="363">
        <f>E58/'Revenue breakdown'!B3</f>
        <v>2.6328878273354585E-2</v>
      </c>
      <c r="F61" s="363">
        <f>F58/'Revenue breakdown'!C3</f>
        <v>1.6401566433970022E-2</v>
      </c>
      <c r="G61" s="363">
        <f>G58/'Revenue breakdown'!D3</f>
        <v>9.7664502687564228E-4</v>
      </c>
      <c r="H61" s="363">
        <f>H58/'Revenue breakdown'!E3</f>
        <v>2.4280815601325115E-2</v>
      </c>
      <c r="I61" s="363">
        <f>I58/'Revenue breakdown'!F3</f>
        <v>1.571209728526685E-2</v>
      </c>
      <c r="J61" s="367">
        <f>AVERAGE(E61:I61)</f>
        <v>1.674000052415844E-2</v>
      </c>
      <c r="K61" s="367">
        <f t="shared" ref="K61:O61" si="15">AVERAGE(F61:J61)</f>
        <v>1.4822224974319214E-2</v>
      </c>
      <c r="L61" s="367">
        <f t="shared" si="15"/>
        <v>1.4506356682389055E-2</v>
      </c>
      <c r="M61" s="367">
        <f t="shared" si="15"/>
        <v>1.7212299013491736E-2</v>
      </c>
      <c r="N61" s="367">
        <f t="shared" si="15"/>
        <v>1.5798595695925059E-2</v>
      </c>
      <c r="O61" s="367">
        <f t="shared" si="15"/>
        <v>1.58158953780567E-2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1:56" hidden="1" x14ac:dyDescent="0.2">
      <c r="A62" s="426" t="s">
        <v>334</v>
      </c>
      <c r="B62" s="426"/>
      <c r="C62" s="357" t="s">
        <v>72</v>
      </c>
      <c r="D62" s="357" t="s">
        <v>72</v>
      </c>
      <c r="E62" s="357" t="s">
        <v>72</v>
      </c>
      <c r="F62" s="357" t="s">
        <v>72</v>
      </c>
      <c r="G62" s="357" t="s">
        <v>72</v>
      </c>
      <c r="H62" s="357" t="s">
        <v>72</v>
      </c>
      <c r="I62" s="357" t="s">
        <v>72</v>
      </c>
      <c r="J62" s="356"/>
      <c r="K62" s="356"/>
      <c r="L62" s="356"/>
      <c r="M62" s="356"/>
      <c r="N62" s="356"/>
      <c r="O62" s="356"/>
    </row>
    <row r="63" spans="1:56" hidden="1" x14ac:dyDescent="0.2">
      <c r="A63" s="426" t="s">
        <v>335</v>
      </c>
      <c r="B63" s="426"/>
      <c r="C63" s="357" t="s">
        <v>72</v>
      </c>
      <c r="D63" s="357" t="s">
        <v>72</v>
      </c>
      <c r="E63" s="357" t="s">
        <v>72</v>
      </c>
      <c r="F63" s="357" t="s">
        <v>72</v>
      </c>
      <c r="G63" s="357" t="s">
        <v>72</v>
      </c>
      <c r="H63" s="357" t="s">
        <v>72</v>
      </c>
      <c r="I63" s="357" t="s">
        <v>72</v>
      </c>
      <c r="J63" s="357"/>
      <c r="K63" s="357"/>
      <c r="L63" s="357"/>
      <c r="M63" s="357"/>
      <c r="N63" s="357"/>
      <c r="O63" s="357"/>
    </row>
    <row r="64" spans="1:56" hidden="1" x14ac:dyDescent="0.2">
      <c r="A64" s="426" t="s">
        <v>336</v>
      </c>
      <c r="B64" s="426"/>
      <c r="C64" s="357" t="s">
        <v>72</v>
      </c>
      <c r="D64" s="357" t="s">
        <v>72</v>
      </c>
      <c r="E64" s="357" t="s">
        <v>72</v>
      </c>
      <c r="F64" s="357" t="s">
        <v>72</v>
      </c>
      <c r="G64" s="357" t="s">
        <v>72</v>
      </c>
      <c r="H64" s="357" t="s">
        <v>72</v>
      </c>
      <c r="I64" s="357" t="s">
        <v>72</v>
      </c>
      <c r="J64" s="357"/>
      <c r="K64" s="357"/>
      <c r="L64" s="357"/>
      <c r="M64" s="357"/>
      <c r="N64" s="357"/>
      <c r="O64" s="357"/>
    </row>
    <row r="65" spans="1:56" hidden="1" x14ac:dyDescent="0.2">
      <c r="A65" s="426" t="s">
        <v>337</v>
      </c>
      <c r="B65" s="426"/>
      <c r="C65" s="357" t="s">
        <v>72</v>
      </c>
      <c r="D65" s="357" t="s">
        <v>72</v>
      </c>
      <c r="E65" s="357" t="s">
        <v>72</v>
      </c>
      <c r="F65" s="357" t="s">
        <v>72</v>
      </c>
      <c r="G65" s="357" t="s">
        <v>72</v>
      </c>
      <c r="H65" s="357" t="s">
        <v>72</v>
      </c>
      <c r="I65" s="357" t="s">
        <v>72</v>
      </c>
      <c r="J65" s="357"/>
      <c r="K65" s="357"/>
      <c r="L65" s="357"/>
      <c r="M65" s="357"/>
      <c r="N65" s="357"/>
      <c r="O65" s="357"/>
    </row>
    <row r="66" spans="1:56" hidden="1" x14ac:dyDescent="0.2">
      <c r="A66" s="426" t="s">
        <v>338</v>
      </c>
      <c r="B66" s="426"/>
      <c r="C66" s="357" t="s">
        <v>72</v>
      </c>
      <c r="D66" s="357" t="s">
        <v>72</v>
      </c>
      <c r="E66" s="357" t="s">
        <v>72</v>
      </c>
      <c r="F66" s="357" t="s">
        <v>72</v>
      </c>
      <c r="G66" s="357" t="s">
        <v>72</v>
      </c>
      <c r="H66" s="357" t="s">
        <v>72</v>
      </c>
      <c r="I66" s="357" t="s">
        <v>72</v>
      </c>
      <c r="J66" s="357"/>
      <c r="K66" s="357"/>
      <c r="L66" s="357"/>
      <c r="M66" s="357"/>
      <c r="N66" s="357"/>
      <c r="O66" s="357"/>
    </row>
    <row r="67" spans="1:56" hidden="1" x14ac:dyDescent="0.2">
      <c r="A67" s="426" t="s">
        <v>332</v>
      </c>
      <c r="B67" s="426"/>
      <c r="C67" s="357">
        <v>29815</v>
      </c>
      <c r="D67" s="357">
        <v>28835</v>
      </c>
      <c r="E67" s="357">
        <v>31987</v>
      </c>
      <c r="F67" s="357">
        <v>5180</v>
      </c>
      <c r="G67" s="357">
        <v>14108</v>
      </c>
      <c r="H67" s="357">
        <v>7945</v>
      </c>
      <c r="I67" s="357">
        <v>11656</v>
      </c>
      <c r="J67" s="357"/>
      <c r="K67" s="357"/>
      <c r="L67" s="357"/>
      <c r="M67" s="357"/>
      <c r="N67" s="357"/>
      <c r="O67" s="357"/>
    </row>
    <row r="68" spans="1:56" hidden="1" x14ac:dyDescent="0.2">
      <c r="A68" s="425" t="s">
        <v>339</v>
      </c>
      <c r="B68" s="425"/>
      <c r="C68" s="357">
        <v>29815</v>
      </c>
      <c r="D68" s="357">
        <v>28835</v>
      </c>
      <c r="E68" s="357">
        <v>31987</v>
      </c>
      <c r="F68" s="357">
        <v>5180</v>
      </c>
      <c r="G68" s="357">
        <v>14108</v>
      </c>
      <c r="H68" s="357">
        <v>7945</v>
      </c>
      <c r="I68" s="357">
        <v>11656</v>
      </c>
      <c r="J68" s="357"/>
      <c r="K68" s="357"/>
      <c r="L68" s="357"/>
      <c r="M68" s="357"/>
      <c r="N68" s="357"/>
      <c r="O68" s="357"/>
    </row>
    <row r="69" spans="1:56" s="55" customFormat="1" x14ac:dyDescent="0.2">
      <c r="A69" s="426" t="s">
        <v>340</v>
      </c>
      <c r="B69" s="426"/>
      <c r="C69" s="357">
        <v>259383</v>
      </c>
      <c r="D69" s="357">
        <v>363074</v>
      </c>
      <c r="E69" s="357">
        <v>434775</v>
      </c>
      <c r="F69" s="357">
        <v>278003</v>
      </c>
      <c r="G69" s="357">
        <v>28427</v>
      </c>
      <c r="H69" s="357">
        <v>554140</v>
      </c>
      <c r="I69" s="357">
        <v>485623</v>
      </c>
      <c r="J69" s="357">
        <f>J71*'Revenue breakdown'!G3</f>
        <v>674057.52295950032</v>
      </c>
      <c r="K69" s="357">
        <f>K71*'Revenue breakdown'!H3</f>
        <v>634227.54966230062</v>
      </c>
      <c r="L69" s="357">
        <f>L71*'Revenue breakdown'!I3</f>
        <v>672161.15330542054</v>
      </c>
      <c r="M69" s="357">
        <f>M71*'Revenue breakdown'!J3</f>
        <v>855376.54530340084</v>
      </c>
      <c r="N69" s="357">
        <f>N71*'Revenue breakdown'!K3</f>
        <v>842557.03769265686</v>
      </c>
      <c r="O69" s="357">
        <f>O71*'Revenue breakdown'!L3</f>
        <v>918340.86300319387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1:56" s="55" customFormat="1" hidden="1" x14ac:dyDescent="0.2">
      <c r="A70" s="356"/>
      <c r="B70" s="356"/>
      <c r="C70" s="357"/>
      <c r="D70" s="357"/>
      <c r="E70" s="359">
        <f>(E69-D69)/D69</f>
        <v>0.19748315770338828</v>
      </c>
      <c r="F70" s="359">
        <f>(F69-E69)/E69</f>
        <v>-0.36058191018342822</v>
      </c>
      <c r="G70" s="359">
        <f t="shared" ref="G70:I70" si="16">(G69-F69)/F69</f>
        <v>-0.89774570778013185</v>
      </c>
      <c r="H70" s="359">
        <f t="shared" si="16"/>
        <v>18.493439335842684</v>
      </c>
      <c r="I70" s="359">
        <f t="shared" si="16"/>
        <v>-0.12364564911394232</v>
      </c>
      <c r="J70" s="357"/>
      <c r="K70" s="357"/>
      <c r="L70" s="357"/>
      <c r="M70" s="357"/>
      <c r="N70" s="357"/>
      <c r="O70" s="357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1:56" s="55" customFormat="1" x14ac:dyDescent="0.2">
      <c r="A71" s="356"/>
      <c r="B71" s="368" t="s">
        <v>680</v>
      </c>
      <c r="C71" s="357"/>
      <c r="D71" s="357"/>
      <c r="E71" s="359">
        <f>E69/'Revenue breakdown'!B3</f>
        <v>2.8419759405190172E-2</v>
      </c>
      <c r="F71" s="359">
        <f>F69/'Revenue breakdown'!C3</f>
        <v>1.6712977547138505E-2</v>
      </c>
      <c r="G71" s="359">
        <f>G69/'Revenue breakdown'!D3</f>
        <v>1.9388985389338562E-3</v>
      </c>
      <c r="H71" s="359">
        <f>H69/'Revenue breakdown'!E3</f>
        <v>2.4633961356945674E-2</v>
      </c>
      <c r="I71" s="359">
        <f>I69/'Revenue breakdown'!F3</f>
        <v>1.6098461963599112E-2</v>
      </c>
      <c r="J71" s="364">
        <f>AVERAGE(E71:I71)</f>
        <v>1.7560811762361465E-2</v>
      </c>
      <c r="K71" s="364">
        <f t="shared" ref="K71:O72" si="17">AVERAGE(F71:J71)</f>
        <v>1.5389022233795721E-2</v>
      </c>
      <c r="L71" s="364">
        <f t="shared" si="17"/>
        <v>1.5124231171127165E-2</v>
      </c>
      <c r="M71" s="364">
        <f t="shared" si="17"/>
        <v>1.7761297697565827E-2</v>
      </c>
      <c r="N71" s="364">
        <f t="shared" si="17"/>
        <v>1.638676496568986E-2</v>
      </c>
      <c r="O71" s="364">
        <f t="shared" si="17"/>
        <v>1.6444425566108006E-2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1:56" x14ac:dyDescent="0.2">
      <c r="A72" s="426" t="s">
        <v>341</v>
      </c>
      <c r="B72" s="426"/>
      <c r="C72" s="357">
        <v>51877</v>
      </c>
      <c r="D72" s="357">
        <v>73196</v>
      </c>
      <c r="E72" s="357">
        <v>87028</v>
      </c>
      <c r="F72" s="357">
        <v>74155</v>
      </c>
      <c r="G72" s="357">
        <v>18211</v>
      </c>
      <c r="H72" s="357">
        <v>110242</v>
      </c>
      <c r="I72" s="357">
        <v>87549</v>
      </c>
      <c r="J72" s="357">
        <f>AVERAGE(E72:I72)</f>
        <v>75437</v>
      </c>
      <c r="K72" s="357">
        <f t="shared" si="17"/>
        <v>73118.8</v>
      </c>
      <c r="L72" s="357">
        <f t="shared" si="17"/>
        <v>72911.56</v>
      </c>
      <c r="M72" s="357">
        <f t="shared" si="17"/>
        <v>83851.671999999991</v>
      </c>
      <c r="N72" s="357">
        <f t="shared" si="17"/>
        <v>78573.606400000004</v>
      </c>
      <c r="O72" s="357">
        <f t="shared" si="17"/>
        <v>76778.527679999999</v>
      </c>
    </row>
    <row r="73" spans="1:56" s="55" customFormat="1" ht="16" thickBot="1" x14ac:dyDescent="0.25">
      <c r="A73" s="426" t="s">
        <v>342</v>
      </c>
      <c r="B73" s="426"/>
      <c r="C73" s="357">
        <v>207506</v>
      </c>
      <c r="D73" s="357">
        <v>289878</v>
      </c>
      <c r="E73" s="357">
        <v>347747</v>
      </c>
      <c r="F73" s="357">
        <v>203847</v>
      </c>
      <c r="G73" s="357">
        <v>10217</v>
      </c>
      <c r="H73" s="357">
        <v>443898</v>
      </c>
      <c r="I73" s="357">
        <v>398074</v>
      </c>
      <c r="J73" s="357">
        <f>J69-J72</f>
        <v>598620.52295950032</v>
      </c>
      <c r="K73" s="357">
        <f t="shared" ref="K73:O73" si="18">K69-K72</f>
        <v>561108.74966230057</v>
      </c>
      <c r="L73" s="357">
        <f t="shared" si="18"/>
        <v>599249.5933054206</v>
      </c>
      <c r="M73" s="357">
        <f t="shared" si="18"/>
        <v>771524.87330340082</v>
      </c>
      <c r="N73" s="357">
        <f t="shared" si="18"/>
        <v>763983.43129265681</v>
      </c>
      <c r="O73" s="357">
        <f t="shared" si="18"/>
        <v>841562.33532319381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1:56" ht="16" hidden="1" thickBot="1" x14ac:dyDescent="0.25">
      <c r="A74" s="426" t="s">
        <v>172</v>
      </c>
      <c r="B74" s="426"/>
      <c r="C74" s="357" t="s">
        <v>72</v>
      </c>
      <c r="D74" s="357" t="s">
        <v>72</v>
      </c>
      <c r="E74" s="357">
        <v>16</v>
      </c>
      <c r="F74" s="357">
        <v>9168</v>
      </c>
      <c r="G74" s="357">
        <v>14502</v>
      </c>
      <c r="H74" s="357">
        <v>-166</v>
      </c>
      <c r="I74" s="357">
        <v>-7713</v>
      </c>
      <c r="J74" s="357"/>
      <c r="K74" s="357"/>
      <c r="L74" s="357"/>
      <c r="M74" s="357"/>
      <c r="N74" s="357"/>
      <c r="O74" s="357"/>
    </row>
    <row r="75" spans="1:56" ht="16" hidden="1" thickBot="1" x14ac:dyDescent="0.25">
      <c r="A75" s="426" t="s">
        <v>343</v>
      </c>
      <c r="B75" s="426"/>
      <c r="C75" s="357" t="s">
        <v>72</v>
      </c>
      <c r="D75" s="357" t="s">
        <v>72</v>
      </c>
      <c r="E75" s="357" t="s">
        <v>72</v>
      </c>
      <c r="F75" s="357" t="s">
        <v>72</v>
      </c>
      <c r="G75" s="357" t="s">
        <v>72</v>
      </c>
      <c r="H75" s="357" t="s">
        <v>72</v>
      </c>
      <c r="I75" s="357" t="s">
        <v>72</v>
      </c>
      <c r="J75" s="357"/>
      <c r="K75" s="357"/>
      <c r="L75" s="357"/>
      <c r="M75" s="357"/>
      <c r="N75" s="357"/>
      <c r="O75" s="357"/>
    </row>
    <row r="76" spans="1:56" ht="16" hidden="1" thickBot="1" x14ac:dyDescent="0.25">
      <c r="A76" s="426" t="s">
        <v>344</v>
      </c>
      <c r="B76" s="426"/>
      <c r="C76" s="357" t="s">
        <v>72</v>
      </c>
      <c r="D76" s="357" t="s">
        <v>72</v>
      </c>
      <c r="E76" s="357" t="s">
        <v>72</v>
      </c>
      <c r="F76" s="357" t="s">
        <v>72</v>
      </c>
      <c r="G76" s="357" t="s">
        <v>72</v>
      </c>
      <c r="H76" s="357" t="s">
        <v>72</v>
      </c>
      <c r="I76" s="357" t="s">
        <v>72</v>
      </c>
      <c r="J76" s="357"/>
      <c r="K76" s="357"/>
      <c r="L76" s="357"/>
      <c r="M76" s="357"/>
      <c r="N76" s="357"/>
      <c r="O76" s="357"/>
    </row>
    <row r="77" spans="1:56" ht="16" hidden="1" thickBot="1" x14ac:dyDescent="0.25">
      <c r="A77" s="426" t="s">
        <v>345</v>
      </c>
      <c r="B77" s="426"/>
      <c r="C77" s="357">
        <v>207506</v>
      </c>
      <c r="D77" s="357">
        <v>289878</v>
      </c>
      <c r="E77" s="357">
        <v>347763</v>
      </c>
      <c r="F77" s="357">
        <v>213015</v>
      </c>
      <c r="G77" s="357">
        <v>24719</v>
      </c>
      <c r="H77" s="357">
        <v>443732</v>
      </c>
      <c r="I77" s="357">
        <v>390361</v>
      </c>
      <c r="J77" s="360"/>
      <c r="K77" s="360"/>
      <c r="L77" s="360"/>
      <c r="M77" s="360"/>
      <c r="N77" s="360"/>
      <c r="O77" s="360"/>
    </row>
    <row r="78" spans="1:56" ht="16" hidden="1" thickBot="1" x14ac:dyDescent="0.25">
      <c r="A78" s="429"/>
      <c r="B78" s="429"/>
      <c r="C78" s="360"/>
      <c r="D78" s="360"/>
      <c r="E78" s="360"/>
      <c r="F78" s="360"/>
      <c r="G78" s="360"/>
      <c r="H78" s="360"/>
      <c r="I78" s="360"/>
      <c r="J78" s="357"/>
      <c r="K78" s="357"/>
      <c r="L78" s="357"/>
      <c r="M78" s="357"/>
      <c r="N78" s="357"/>
      <c r="O78" s="357"/>
    </row>
    <row r="79" spans="1:56" ht="16" hidden="1" thickBot="1" x14ac:dyDescent="0.25">
      <c r="A79" s="426" t="s">
        <v>346</v>
      </c>
      <c r="B79" s="426"/>
      <c r="C79" s="357" t="s">
        <v>72</v>
      </c>
      <c r="D79" s="357" t="s">
        <v>72</v>
      </c>
      <c r="E79" s="357" t="s">
        <v>72</v>
      </c>
      <c r="F79" s="357" t="s">
        <v>72</v>
      </c>
      <c r="G79" s="357" t="s">
        <v>72</v>
      </c>
      <c r="H79" s="357" t="s">
        <v>72</v>
      </c>
      <c r="I79" s="357" t="s">
        <v>72</v>
      </c>
      <c r="J79" s="357"/>
      <c r="K79" s="357"/>
      <c r="L79" s="357"/>
      <c r="M79" s="357"/>
      <c r="N79" s="357"/>
      <c r="O79" s="357"/>
    </row>
    <row r="80" spans="1:56" ht="16" hidden="1" thickBot="1" x14ac:dyDescent="0.25">
      <c r="A80" s="426" t="s">
        <v>347</v>
      </c>
      <c r="B80" s="426"/>
      <c r="C80" s="357" t="s">
        <v>72</v>
      </c>
      <c r="D80" s="357" t="s">
        <v>72</v>
      </c>
      <c r="E80" s="357" t="s">
        <v>72</v>
      </c>
      <c r="F80" s="357" t="s">
        <v>72</v>
      </c>
      <c r="G80" s="357" t="s">
        <v>72</v>
      </c>
      <c r="H80" s="357" t="s">
        <v>72</v>
      </c>
      <c r="I80" s="357" t="s">
        <v>72</v>
      </c>
      <c r="J80" s="360"/>
      <c r="K80" s="360"/>
      <c r="L80" s="360"/>
      <c r="M80" s="360"/>
      <c r="N80" s="360"/>
      <c r="O80" s="360"/>
    </row>
    <row r="81" spans="1:16" ht="16" hidden="1" thickBot="1" x14ac:dyDescent="0.25">
      <c r="A81" s="426" t="s">
        <v>348</v>
      </c>
      <c r="B81" s="426"/>
      <c r="C81" s="357" t="s">
        <v>72</v>
      </c>
      <c r="D81" s="357" t="s">
        <v>72</v>
      </c>
      <c r="E81" s="357" t="s">
        <v>72</v>
      </c>
      <c r="F81" s="357" t="s">
        <v>72</v>
      </c>
      <c r="G81" s="357" t="s">
        <v>72</v>
      </c>
      <c r="H81" s="357" t="s">
        <v>72</v>
      </c>
      <c r="I81" s="357" t="s">
        <v>72</v>
      </c>
      <c r="J81" s="357"/>
      <c r="K81" s="357"/>
      <c r="L81" s="357"/>
      <c r="M81" s="357"/>
      <c r="N81" s="357"/>
      <c r="O81" s="357"/>
    </row>
    <row r="82" spans="1:16" ht="16" hidden="1" thickBot="1" x14ac:dyDescent="0.25">
      <c r="A82" s="426" t="s">
        <v>349</v>
      </c>
      <c r="B82" s="426"/>
      <c r="C82" s="357" t="s">
        <v>72</v>
      </c>
      <c r="D82" s="357" t="s">
        <v>72</v>
      </c>
      <c r="E82" s="357" t="s">
        <v>72</v>
      </c>
      <c r="F82" s="357" t="s">
        <v>72</v>
      </c>
      <c r="G82" s="357" t="s">
        <v>72</v>
      </c>
      <c r="H82" s="357" t="s">
        <v>72</v>
      </c>
      <c r="I82" s="357" t="s">
        <v>72</v>
      </c>
      <c r="J82" s="357"/>
      <c r="K82" s="357"/>
      <c r="L82" s="357"/>
      <c r="M82" s="357"/>
      <c r="N82" s="357"/>
      <c r="O82" s="357"/>
    </row>
    <row r="83" spans="1:16" ht="16" hidden="1" thickBot="1" x14ac:dyDescent="0.25">
      <c r="A83" s="426" t="s">
        <v>350</v>
      </c>
      <c r="B83" s="426"/>
      <c r="C83" s="357" t="s">
        <v>72</v>
      </c>
      <c r="D83" s="357" t="s">
        <v>72</v>
      </c>
      <c r="E83" s="357"/>
      <c r="F83" s="357" t="s">
        <v>72</v>
      </c>
      <c r="G83" s="357" t="s">
        <v>72</v>
      </c>
      <c r="H83" s="357" t="s">
        <v>72</v>
      </c>
      <c r="I83" s="357" t="s">
        <v>72</v>
      </c>
      <c r="J83" s="357"/>
      <c r="K83" s="357"/>
      <c r="L83" s="357"/>
      <c r="M83" s="357"/>
      <c r="N83" s="357"/>
      <c r="O83" s="357"/>
    </row>
    <row r="84" spans="1:16" x14ac:dyDescent="0.2">
      <c r="A84" s="426" t="s">
        <v>351</v>
      </c>
      <c r="B84" s="426"/>
      <c r="C84" s="357">
        <v>207506</v>
      </c>
      <c r="D84" s="357">
        <v>289878</v>
      </c>
      <c r="E84" s="357">
        <v>347763</v>
      </c>
      <c r="F84" s="357">
        <v>213015</v>
      </c>
      <c r="G84" s="357">
        <v>24719</v>
      </c>
      <c r="H84" s="357">
        <v>443732</v>
      </c>
      <c r="I84" s="357">
        <v>390361</v>
      </c>
      <c r="J84" s="357">
        <f>J89*'Revenue breakdown'!G3</f>
        <v>536537.70588874537</v>
      </c>
      <c r="K84" s="357">
        <f>K89*'Revenue breakdown'!H3</f>
        <v>541060.85031526524</v>
      </c>
      <c r="L84" s="357">
        <f>L89*'Revenue breakdown'!I3</f>
        <v>589088.44823592866</v>
      </c>
      <c r="M84" s="357">
        <f>M89*'Revenue breakdown'!J3</f>
        <v>762226.13947295723</v>
      </c>
      <c r="N84" s="357">
        <f>N89*'Revenue breakdown'!K3</f>
        <v>758963.00062601478</v>
      </c>
      <c r="O84" s="357">
        <f>O89*'Revenue breakdown'!L3</f>
        <v>860684.70420879533</v>
      </c>
      <c r="P84" s="14"/>
    </row>
    <row r="85" spans="1:16" x14ac:dyDescent="0.2">
      <c r="A85" s="356"/>
      <c r="B85" s="366" t="s">
        <v>632</v>
      </c>
      <c r="C85" s="357"/>
      <c r="D85" s="369"/>
      <c r="E85" s="370">
        <f>E84*'Revenue breakdown'!B8</f>
        <v>339920.43183817063</v>
      </c>
      <c r="F85" s="370">
        <f>F84*'Revenue breakdown'!C8</f>
        <v>206473.88448932185</v>
      </c>
      <c r="G85" s="370">
        <f>G84*'Revenue breakdown'!D8</f>
        <v>22719.938714859552</v>
      </c>
      <c r="H85" s="370">
        <f>H84*'Revenue breakdown'!E8</f>
        <v>366073.77473363926</v>
      </c>
      <c r="I85" s="370">
        <f>I84*'Revenue breakdown'!F8</f>
        <v>267724.10178231302</v>
      </c>
      <c r="J85" s="357">
        <f>I85*(1+J86)</f>
        <v>271438.92271212686</v>
      </c>
      <c r="K85" s="357">
        <f t="shared" ref="K85:O85" si="19">J85*(1+K86)</f>
        <v>274752.31965792167</v>
      </c>
      <c r="L85" s="357">
        <f t="shared" si="19"/>
        <v>278073.23378725781</v>
      </c>
      <c r="M85" s="357">
        <f t="shared" si="19"/>
        <v>282012.73263148684</v>
      </c>
      <c r="N85" s="357">
        <f t="shared" si="19"/>
        <v>285694.51729690371</v>
      </c>
      <c r="O85" s="357">
        <f t="shared" si="19"/>
        <v>289430.93259617838</v>
      </c>
    </row>
    <row r="86" spans="1:16" x14ac:dyDescent="0.2">
      <c r="A86" s="356"/>
      <c r="B86" s="366" t="s">
        <v>624</v>
      </c>
      <c r="C86" s="357"/>
      <c r="D86" s="359"/>
      <c r="E86" s="371">
        <f>E85/'Revenue breakdown'!B6</f>
        <v>2.2219407733665167E-2</v>
      </c>
      <c r="F86" s="371">
        <f>F85/'Revenue breakdown'!C6</f>
        <v>1.2806030554359875E-2</v>
      </c>
      <c r="G86" s="371">
        <f>G85/'Revenue breakdown'!D6</f>
        <v>1.6859898330427406E-3</v>
      </c>
      <c r="H86" s="371">
        <f>H85/'Revenue breakdown'!E6</f>
        <v>1.9725839933663367E-2</v>
      </c>
      <c r="I86" s="372">
        <f>I85/'Revenue breakdown'!F6</f>
        <v>1.2940514989142837E-2</v>
      </c>
      <c r="J86" s="364">
        <f>AVERAGE(E86:I86)</f>
        <v>1.3875556608774797E-2</v>
      </c>
      <c r="K86" s="364">
        <f t="shared" ref="K86:O86" si="20">AVERAGE(F86:J86)</f>
        <v>1.2206786383796724E-2</v>
      </c>
      <c r="L86" s="364">
        <f t="shared" si="20"/>
        <v>1.2086937549684092E-2</v>
      </c>
      <c r="M86" s="364">
        <f t="shared" si="20"/>
        <v>1.4167127093012363E-2</v>
      </c>
      <c r="N86" s="364">
        <f t="shared" si="20"/>
        <v>1.3055384524882164E-2</v>
      </c>
      <c r="O86" s="364">
        <f t="shared" si="20"/>
        <v>1.307835843203003E-2</v>
      </c>
    </row>
    <row r="87" spans="1:16" x14ac:dyDescent="0.2">
      <c r="A87" s="356"/>
      <c r="B87" s="366" t="s">
        <v>636</v>
      </c>
      <c r="C87" s="357"/>
      <c r="D87" s="357"/>
      <c r="E87" s="357">
        <f>E84-E85</f>
        <v>7842.5681618293747</v>
      </c>
      <c r="F87" s="357">
        <f t="shared" ref="F87:I87" si="21">F84-F85</f>
        <v>6541.1155106781516</v>
      </c>
      <c r="G87" s="357">
        <f t="shared" si="21"/>
        <v>1999.0612851404476</v>
      </c>
      <c r="H87" s="357">
        <f t="shared" si="21"/>
        <v>77658.225266360736</v>
      </c>
      <c r="I87" s="357">
        <f t="shared" si="21"/>
        <v>122636.89821768698</v>
      </c>
      <c r="J87" s="357">
        <f>I87*(1+J88)</f>
        <v>124342.11100077012</v>
      </c>
      <c r="K87" s="357">
        <f t="shared" ref="K87:O87" si="22">J87*(1+K88)</f>
        <v>125851.50762842975</v>
      </c>
      <c r="L87" s="357">
        <f t="shared" si="22"/>
        <v>127362.43849174271</v>
      </c>
      <c r="M87" s="357">
        <f t="shared" si="22"/>
        <v>129154.56257480007</v>
      </c>
      <c r="N87" s="357">
        <f t="shared" si="22"/>
        <v>130830.99982975124</v>
      </c>
      <c r="O87" s="357">
        <f t="shared" si="22"/>
        <v>132534.43078776979</v>
      </c>
    </row>
    <row r="88" spans="1:16" x14ac:dyDescent="0.2">
      <c r="A88" s="356"/>
      <c r="B88" s="366" t="s">
        <v>624</v>
      </c>
      <c r="C88" s="357"/>
      <c r="D88" s="357"/>
      <c r="E88" s="359">
        <f>E87/'Revenue breakdown'!B12</f>
        <v>2.2732081628490941E-2</v>
      </c>
      <c r="F88" s="359">
        <f>F87/'Revenue breakdown'!C12</f>
        <v>1.2806055625731772E-2</v>
      </c>
      <c r="G88" s="359">
        <f>G87/'Revenue breakdown'!D12</f>
        <v>1.6786984692657683E-3</v>
      </c>
      <c r="H88" s="359">
        <f>H87/'Revenue breakdown'!E12</f>
        <v>1.9525912596125891E-2</v>
      </c>
      <c r="I88" s="364">
        <f>I87/'Revenue breakdown'!F12</f>
        <v>1.2780079143630399E-2</v>
      </c>
      <c r="J88" s="364">
        <f t="shared" ref="J88:O88" si="23">AVERAGE(E88:I88)</f>
        <v>1.3904565492648954E-2</v>
      </c>
      <c r="K88" s="364">
        <f t="shared" si="23"/>
        <v>1.2139062265480557E-2</v>
      </c>
      <c r="L88" s="364">
        <f t="shared" si="23"/>
        <v>1.2005663593430315E-2</v>
      </c>
      <c r="M88" s="364">
        <f t="shared" si="23"/>
        <v>1.4071056618263226E-2</v>
      </c>
      <c r="N88" s="364">
        <f t="shared" si="23"/>
        <v>1.298008542269069E-2</v>
      </c>
      <c r="O88" s="364">
        <f t="shared" si="23"/>
        <v>1.3020086678502745E-2</v>
      </c>
    </row>
    <row r="89" spans="1:16" x14ac:dyDescent="0.2">
      <c r="A89" s="356"/>
      <c r="B89" s="366" t="s">
        <v>647</v>
      </c>
      <c r="C89" s="357"/>
      <c r="D89" s="357"/>
      <c r="E89" s="364">
        <f>E84/'Revenue breakdown'!B3</f>
        <v>2.2732081628490945E-2</v>
      </c>
      <c r="F89" s="364">
        <f>F84/'Revenue breakdown'!C3</f>
        <v>1.2806030554359875E-2</v>
      </c>
      <c r="G89" s="364">
        <f>G84/'Revenue breakdown'!D3</f>
        <v>1.6859898330427406E-3</v>
      </c>
      <c r="H89" s="364">
        <f>H84/'Revenue breakdown'!E3</f>
        <v>1.9725839933663367E-2</v>
      </c>
      <c r="I89" s="364">
        <f>I84/'Revenue breakdown'!F3</f>
        <v>1.2940514989142837E-2</v>
      </c>
      <c r="J89" s="364">
        <f>AVERAGE(E89:I89)</f>
        <v>1.3978091387739953E-2</v>
      </c>
      <c r="K89" s="364">
        <f>AVERAGE(F89:J89)*(100%+'Revenue breakdown'!H4)</f>
        <v>1.3128407083185667E-2</v>
      </c>
      <c r="L89" s="364">
        <f>AVERAGE(G89:K89)*(100%+'Revenue breakdown'!I4)</f>
        <v>1.3255020507429426E-2</v>
      </c>
      <c r="M89" s="364">
        <f>AVERAGE(H89:L89)*(100%+'Revenue breakdown'!J4)</f>
        <v>1.5827094453757285E-2</v>
      </c>
      <c r="N89" s="364">
        <f>AVERAGE(I89:M89)*(100%+'Revenue breakdown'!K4)</f>
        <v>1.476095712519573E-2</v>
      </c>
      <c r="O89" s="364">
        <f>AVERAGE(J89:N89)*(100%+'Revenue breakdown'!L4)</f>
        <v>1.5411995833403308E-2</v>
      </c>
    </row>
    <row r="90" spans="1:16" x14ac:dyDescent="0.2">
      <c r="A90" s="356"/>
      <c r="B90" s="366" t="s">
        <v>598</v>
      </c>
      <c r="C90" s="357"/>
      <c r="D90" s="357"/>
      <c r="E90" s="359">
        <f>(E84-D84)/D84</f>
        <v>0.19968745472233146</v>
      </c>
      <c r="F90" s="359">
        <f>(F84-E84)/E84</f>
        <v>-0.38747077751227127</v>
      </c>
      <c r="G90" s="359">
        <f t="shared" ref="G90:I90" si="24">(G84-F84)/F84</f>
        <v>-0.88395652888294252</v>
      </c>
      <c r="H90" s="359">
        <f t="shared" si="24"/>
        <v>16.951049799749182</v>
      </c>
      <c r="I90" s="359">
        <f t="shared" si="24"/>
        <v>-0.12027755492053763</v>
      </c>
      <c r="J90" s="359">
        <f t="shared" ref="J90" si="25">(J84-I84)/I84</f>
        <v>0.37446544580207902</v>
      </c>
      <c r="K90" s="359">
        <f t="shared" ref="K90" si="26">(K84-J84)/J84</f>
        <v>8.4302452127339774E-3</v>
      </c>
      <c r="L90" s="359">
        <f t="shared" ref="L90" si="27">(L84-K84)/K84</f>
        <v>8.8765612763663668E-2</v>
      </c>
      <c r="M90" s="359">
        <f t="shared" ref="M90" si="28">(M84-L84)/L84</f>
        <v>0.29390780239453496</v>
      </c>
      <c r="N90" s="359">
        <f t="shared" ref="N90:O90" si="29">(N84-M84)/M84</f>
        <v>-4.2810639493402313E-3</v>
      </c>
      <c r="O90" s="359">
        <f t="shared" si="29"/>
        <v>0.1340272233282486</v>
      </c>
    </row>
    <row r="91" spans="1:16" hidden="1" x14ac:dyDescent="0.2">
      <c r="A91" s="426" t="s">
        <v>352</v>
      </c>
      <c r="B91" s="426"/>
      <c r="C91" s="357" t="s">
        <v>72</v>
      </c>
      <c r="D91" s="357" t="s">
        <v>72</v>
      </c>
      <c r="E91" s="357" t="s">
        <v>72</v>
      </c>
      <c r="F91" s="357" t="s">
        <v>72</v>
      </c>
      <c r="G91" s="357" t="s">
        <v>72</v>
      </c>
      <c r="H91" s="357" t="s">
        <v>72</v>
      </c>
      <c r="I91" s="357" t="s">
        <v>72</v>
      </c>
      <c r="J91" s="357"/>
      <c r="K91" s="357"/>
      <c r="L91" s="357"/>
      <c r="M91" s="357"/>
      <c r="N91" s="357"/>
      <c r="O91" s="357"/>
    </row>
    <row r="92" spans="1:16" hidden="1" x14ac:dyDescent="0.2">
      <c r="A92" s="426" t="s">
        <v>353</v>
      </c>
      <c r="B92" s="426"/>
      <c r="C92" s="357" t="s">
        <v>72</v>
      </c>
      <c r="D92" s="357" t="s">
        <v>72</v>
      </c>
      <c r="E92" s="357" t="s">
        <v>72</v>
      </c>
      <c r="F92" s="357" t="s">
        <v>72</v>
      </c>
      <c r="G92" s="357" t="s">
        <v>72</v>
      </c>
      <c r="H92" s="357" t="s">
        <v>72</v>
      </c>
      <c r="I92" s="357" t="s">
        <v>72</v>
      </c>
      <c r="J92" s="357"/>
      <c r="K92" s="357"/>
      <c r="L92" s="357"/>
      <c r="M92" s="357"/>
      <c r="N92" s="357"/>
      <c r="O92" s="357"/>
    </row>
    <row r="93" spans="1:16" hidden="1" x14ac:dyDescent="0.2">
      <c r="A93" s="426" t="s">
        <v>354</v>
      </c>
      <c r="B93" s="426"/>
      <c r="C93" s="357">
        <v>-6225</v>
      </c>
      <c r="D93" s="357">
        <v>-8704</v>
      </c>
      <c r="E93" s="357">
        <v>-10434</v>
      </c>
      <c r="F93" s="357">
        <v>-7371</v>
      </c>
      <c r="G93" s="357">
        <v>-3700</v>
      </c>
      <c r="H93" s="357" t="s">
        <v>72</v>
      </c>
      <c r="I93" s="357" t="s">
        <v>72</v>
      </c>
      <c r="J93" s="357"/>
      <c r="K93" s="357"/>
      <c r="L93" s="357"/>
      <c r="M93" s="357"/>
      <c r="N93" s="357"/>
      <c r="O93" s="357"/>
    </row>
    <row r="94" spans="1:16" hidden="1" x14ac:dyDescent="0.2">
      <c r="A94" s="426" t="s">
        <v>355</v>
      </c>
      <c r="B94" s="426"/>
      <c r="C94" s="357" t="s">
        <v>72</v>
      </c>
      <c r="D94" s="357" t="s">
        <v>72</v>
      </c>
      <c r="E94" s="357" t="s">
        <v>72</v>
      </c>
      <c r="F94" s="357" t="s">
        <v>72</v>
      </c>
      <c r="G94" s="357" t="s">
        <v>72</v>
      </c>
      <c r="H94" s="357" t="s">
        <v>72</v>
      </c>
      <c r="I94" s="357" t="s">
        <v>72</v>
      </c>
      <c r="J94" s="357"/>
      <c r="K94" s="357"/>
      <c r="L94" s="357"/>
      <c r="M94" s="357"/>
      <c r="N94" s="357"/>
      <c r="O94" s="357"/>
    </row>
    <row r="95" spans="1:16" hidden="1" x14ac:dyDescent="0.2">
      <c r="A95" s="426" t="s">
        <v>356</v>
      </c>
      <c r="B95" s="426"/>
      <c r="C95" s="357" t="s">
        <v>72</v>
      </c>
      <c r="D95" s="357" t="s">
        <v>72</v>
      </c>
      <c r="E95" s="357" t="s">
        <v>72</v>
      </c>
      <c r="F95" s="357" t="s">
        <v>72</v>
      </c>
      <c r="G95" s="357" t="s">
        <v>72</v>
      </c>
      <c r="H95" s="357" t="s">
        <v>72</v>
      </c>
      <c r="I95" s="357" t="s">
        <v>72</v>
      </c>
      <c r="J95" s="357"/>
      <c r="K95" s="357"/>
      <c r="L95" s="357"/>
      <c r="M95" s="357"/>
      <c r="N95" s="357"/>
      <c r="O95" s="357"/>
    </row>
    <row r="96" spans="1:16" hidden="1" x14ac:dyDescent="0.2">
      <c r="A96" s="426" t="s">
        <v>357</v>
      </c>
      <c r="B96" s="426"/>
      <c r="C96" s="357">
        <v>-6225</v>
      </c>
      <c r="D96" s="357">
        <v>-8704</v>
      </c>
      <c r="E96" s="357">
        <v>-10434</v>
      </c>
      <c r="F96" s="357">
        <v>-7371</v>
      </c>
      <c r="G96" s="357">
        <v>-3700</v>
      </c>
      <c r="H96" s="357" t="s">
        <v>72</v>
      </c>
      <c r="I96" s="357" t="s">
        <v>72</v>
      </c>
      <c r="J96" s="357"/>
      <c r="K96" s="357"/>
      <c r="L96" s="357"/>
      <c r="M96" s="357"/>
      <c r="N96" s="357"/>
      <c r="O96" s="357"/>
    </row>
    <row r="97" spans="1:15" hidden="1" x14ac:dyDescent="0.2">
      <c r="A97" s="426" t="s">
        <v>358</v>
      </c>
      <c r="B97" s="426"/>
      <c r="C97" s="357">
        <v>201281</v>
      </c>
      <c r="D97" s="357">
        <v>281174</v>
      </c>
      <c r="E97" s="357">
        <v>337329</v>
      </c>
      <c r="F97" s="357">
        <v>205644</v>
      </c>
      <c r="G97" s="357">
        <v>21018</v>
      </c>
      <c r="H97" s="357">
        <v>443732</v>
      </c>
      <c r="I97" s="357">
        <v>390361</v>
      </c>
      <c r="J97" s="357"/>
      <c r="K97" s="357"/>
      <c r="L97" s="357"/>
      <c r="M97" s="357"/>
      <c r="N97" s="357"/>
      <c r="O97" s="357"/>
    </row>
    <row r="98" spans="1:15" hidden="1" x14ac:dyDescent="0.2">
      <c r="A98" s="426" t="s">
        <v>359</v>
      </c>
      <c r="B98" s="426"/>
      <c r="C98" s="357">
        <v>201281</v>
      </c>
      <c r="D98" s="357">
        <v>281174</v>
      </c>
      <c r="E98" s="357">
        <v>337329</v>
      </c>
      <c r="F98" s="357">
        <v>205644</v>
      </c>
      <c r="G98" s="357">
        <v>21018</v>
      </c>
      <c r="H98" s="357">
        <v>443732</v>
      </c>
      <c r="I98" s="357">
        <v>390361</v>
      </c>
      <c r="J98" s="357"/>
      <c r="K98" s="357"/>
      <c r="L98" s="357"/>
      <c r="M98" s="357"/>
      <c r="N98" s="357"/>
      <c r="O98" s="357"/>
    </row>
    <row r="99" spans="1:15" hidden="1" x14ac:dyDescent="0.2">
      <c r="A99" s="426" t="s">
        <v>360</v>
      </c>
      <c r="B99" s="426"/>
      <c r="C99" s="357">
        <v>67</v>
      </c>
      <c r="D99" s="357">
        <v>135</v>
      </c>
      <c r="E99" s="357">
        <v>135</v>
      </c>
      <c r="F99" s="357">
        <v>136</v>
      </c>
      <c r="G99" s="357">
        <v>136</v>
      </c>
      <c r="H99" s="357">
        <v>136</v>
      </c>
      <c r="I99" s="357">
        <v>136</v>
      </c>
      <c r="J99" s="373"/>
      <c r="K99" s="373"/>
      <c r="L99" s="373"/>
      <c r="M99" s="373"/>
      <c r="N99" s="373"/>
      <c r="O99" s="373"/>
    </row>
    <row r="100" spans="1:15" hidden="1" x14ac:dyDescent="0.2">
      <c r="A100" s="426" t="s">
        <v>361</v>
      </c>
      <c r="B100" s="426"/>
      <c r="C100" s="374">
        <v>2985.09</v>
      </c>
      <c r="D100" s="374">
        <v>2084.66</v>
      </c>
      <c r="E100" s="374">
        <v>2500.73</v>
      </c>
      <c r="F100" s="374">
        <v>1514.45</v>
      </c>
      <c r="G100" s="374">
        <v>154.27000000000001</v>
      </c>
      <c r="H100" s="374">
        <v>3256.94</v>
      </c>
      <c r="I100" s="374">
        <v>2865.19</v>
      </c>
      <c r="J100" s="357"/>
      <c r="K100" s="357"/>
      <c r="L100" s="357"/>
      <c r="M100" s="357"/>
      <c r="N100" s="357"/>
      <c r="O100" s="357"/>
    </row>
    <row r="101" spans="1:15" hidden="1" x14ac:dyDescent="0.2">
      <c r="A101" s="426" t="s">
        <v>362</v>
      </c>
      <c r="B101" s="426"/>
      <c r="C101" s="374">
        <v>2985.09</v>
      </c>
      <c r="D101" s="374">
        <v>2084.66</v>
      </c>
      <c r="E101" s="374">
        <v>2500.73</v>
      </c>
      <c r="F101" s="374">
        <v>1514.45</v>
      </c>
      <c r="G101" s="374">
        <v>154.27000000000001</v>
      </c>
      <c r="H101" s="374">
        <v>3256.94</v>
      </c>
      <c r="I101" s="374">
        <v>2865.19</v>
      </c>
      <c r="J101" s="360"/>
      <c r="K101" s="360"/>
      <c r="L101" s="360"/>
      <c r="M101" s="360"/>
      <c r="N101" s="360"/>
      <c r="O101" s="360"/>
    </row>
    <row r="102" spans="1:15" hidden="1" x14ac:dyDescent="0.2">
      <c r="A102" s="426" t="s">
        <v>363</v>
      </c>
      <c r="B102" s="426"/>
      <c r="C102" s="357" t="s">
        <v>72</v>
      </c>
      <c r="D102" s="357" t="s">
        <v>72</v>
      </c>
      <c r="E102" s="357" t="s">
        <v>72</v>
      </c>
      <c r="F102" s="357" t="s">
        <v>72</v>
      </c>
      <c r="G102" s="357" t="s">
        <v>72</v>
      </c>
      <c r="H102" s="357" t="s">
        <v>72</v>
      </c>
      <c r="I102" s="357" t="s">
        <v>72</v>
      </c>
      <c r="J102" s="373"/>
      <c r="K102" s="373"/>
      <c r="L102" s="373"/>
      <c r="M102" s="373"/>
      <c r="N102" s="373"/>
      <c r="O102" s="373"/>
    </row>
    <row r="103" spans="1:15" hidden="1" x14ac:dyDescent="0.2">
      <c r="A103" s="426" t="s">
        <v>364</v>
      </c>
      <c r="B103" s="426"/>
      <c r="C103" s="357">
        <v>201281</v>
      </c>
      <c r="D103" s="357">
        <v>281174</v>
      </c>
      <c r="E103" s="357">
        <v>337329</v>
      </c>
      <c r="F103" s="357">
        <v>205644</v>
      </c>
      <c r="G103" s="357">
        <v>21018</v>
      </c>
      <c r="H103" s="357">
        <v>443732</v>
      </c>
      <c r="I103" s="357">
        <v>390361</v>
      </c>
      <c r="J103" s="373"/>
      <c r="K103" s="373"/>
      <c r="L103" s="373"/>
      <c r="M103" s="373"/>
      <c r="N103" s="373"/>
      <c r="O103" s="373"/>
    </row>
    <row r="104" spans="1:15" hidden="1" x14ac:dyDescent="0.2">
      <c r="A104" s="426" t="s">
        <v>365</v>
      </c>
      <c r="B104" s="426"/>
      <c r="C104" s="357">
        <v>67</v>
      </c>
      <c r="D104" s="357">
        <v>135</v>
      </c>
      <c r="E104" s="357">
        <v>135</v>
      </c>
      <c r="F104" s="357">
        <v>136</v>
      </c>
      <c r="G104" s="357">
        <v>136</v>
      </c>
      <c r="H104" s="357">
        <v>136</v>
      </c>
      <c r="I104" s="357">
        <v>136</v>
      </c>
      <c r="J104" s="373"/>
      <c r="K104" s="373"/>
      <c r="L104" s="373"/>
      <c r="M104" s="373"/>
      <c r="N104" s="373"/>
      <c r="O104" s="373"/>
    </row>
    <row r="105" spans="1:15" hidden="1" x14ac:dyDescent="0.2">
      <c r="A105" s="426" t="s">
        <v>366</v>
      </c>
      <c r="B105" s="426"/>
      <c r="C105" s="374">
        <v>2985.09</v>
      </c>
      <c r="D105" s="374">
        <v>2084.66</v>
      </c>
      <c r="E105" s="374">
        <v>2500.73</v>
      </c>
      <c r="F105" s="374">
        <v>1514.45</v>
      </c>
      <c r="G105" s="374">
        <v>154.27000000000001</v>
      </c>
      <c r="H105" s="374">
        <v>3256.94</v>
      </c>
      <c r="I105" s="374">
        <v>2865.19</v>
      </c>
      <c r="J105" s="373"/>
      <c r="K105" s="373"/>
      <c r="L105" s="373"/>
      <c r="M105" s="373"/>
      <c r="N105" s="373"/>
      <c r="O105" s="373"/>
    </row>
    <row r="106" spans="1:15" hidden="1" x14ac:dyDescent="0.2">
      <c r="A106" s="426" t="s">
        <v>367</v>
      </c>
      <c r="B106" s="426"/>
      <c r="C106" s="374">
        <v>2985.09</v>
      </c>
      <c r="D106" s="374">
        <v>2084.66</v>
      </c>
      <c r="E106" s="374">
        <v>2500.73</v>
      </c>
      <c r="F106" s="374">
        <v>1514.45</v>
      </c>
      <c r="G106" s="374">
        <v>154.27000000000001</v>
      </c>
      <c r="H106" s="374">
        <v>3256.94</v>
      </c>
      <c r="I106" s="374">
        <v>2865.19</v>
      </c>
      <c r="J106" s="373"/>
      <c r="K106" s="373"/>
      <c r="L106" s="373"/>
      <c r="M106" s="373"/>
      <c r="N106" s="373"/>
      <c r="O106" s="373"/>
    </row>
    <row r="107" spans="1:15" ht="12" hidden="1" customHeight="1" thickBot="1" x14ac:dyDescent="0.25">
      <c r="A107" s="426" t="s">
        <v>189</v>
      </c>
      <c r="B107" s="426"/>
      <c r="C107" s="356"/>
      <c r="D107" s="356"/>
      <c r="E107" s="356"/>
      <c r="F107" s="356"/>
      <c r="G107" s="356"/>
      <c r="H107" s="356"/>
      <c r="I107" s="356"/>
      <c r="J107" s="373"/>
      <c r="K107" s="373"/>
      <c r="L107" s="373"/>
      <c r="M107" s="373"/>
      <c r="N107" s="373"/>
      <c r="O107" s="373"/>
    </row>
    <row r="108" spans="1:15" hidden="1" x14ac:dyDescent="0.2">
      <c r="A108" s="426" t="s">
        <v>368</v>
      </c>
      <c r="B108" s="426"/>
      <c r="C108" s="374" t="s">
        <v>72</v>
      </c>
      <c r="D108" s="374" t="s">
        <v>72</v>
      </c>
      <c r="E108" s="374">
        <v>478.9</v>
      </c>
      <c r="F108" s="374">
        <v>550.73</v>
      </c>
      <c r="G108" s="374">
        <v>0</v>
      </c>
      <c r="H108" s="374">
        <v>413.05</v>
      </c>
      <c r="I108" s="374">
        <v>413.04</v>
      </c>
      <c r="J108" s="373"/>
      <c r="K108" s="373"/>
      <c r="L108" s="373"/>
      <c r="M108" s="373"/>
      <c r="N108" s="373"/>
      <c r="O108" s="373"/>
    </row>
    <row r="109" spans="1:15" hidden="1" x14ac:dyDescent="0.2">
      <c r="A109" s="426" t="s">
        <v>369</v>
      </c>
      <c r="B109" s="426"/>
      <c r="C109" s="374" t="s">
        <v>72</v>
      </c>
      <c r="D109" s="374" t="s">
        <v>72</v>
      </c>
      <c r="E109" s="374" t="s">
        <v>72</v>
      </c>
      <c r="F109" s="374" t="s">
        <v>72</v>
      </c>
      <c r="G109" s="374" t="s">
        <v>72</v>
      </c>
      <c r="H109" s="374" t="s">
        <v>72</v>
      </c>
      <c r="I109" s="374" t="s">
        <v>72</v>
      </c>
      <c r="J109" s="373"/>
      <c r="K109" s="373"/>
      <c r="L109" s="373"/>
      <c r="M109" s="373"/>
      <c r="N109" s="373"/>
      <c r="O109" s="373"/>
    </row>
    <row r="110" spans="1:15" hidden="1" x14ac:dyDescent="0.2">
      <c r="A110" s="426" t="s">
        <v>370</v>
      </c>
      <c r="B110" s="426"/>
      <c r="C110" s="374" t="s">
        <v>72</v>
      </c>
      <c r="D110" s="374" t="s">
        <v>72</v>
      </c>
      <c r="E110" s="374" t="s">
        <v>72</v>
      </c>
      <c r="F110" s="374" t="s">
        <v>72</v>
      </c>
      <c r="G110" s="374" t="s">
        <v>72</v>
      </c>
      <c r="H110" s="374" t="s">
        <v>72</v>
      </c>
      <c r="I110" s="374" t="s">
        <v>72</v>
      </c>
      <c r="J110" s="373"/>
      <c r="K110" s="373"/>
      <c r="L110" s="373"/>
      <c r="M110" s="373"/>
      <c r="N110" s="373"/>
      <c r="O110" s="373"/>
    </row>
    <row r="111" spans="1:15" hidden="1" x14ac:dyDescent="0.2">
      <c r="A111" s="426" t="s">
        <v>371</v>
      </c>
      <c r="B111" s="426"/>
      <c r="C111" s="374" t="s">
        <v>72</v>
      </c>
      <c r="D111" s="374" t="s">
        <v>72</v>
      </c>
      <c r="E111" s="374" t="s">
        <v>72</v>
      </c>
      <c r="F111" s="374" t="s">
        <v>72</v>
      </c>
      <c r="G111" s="374" t="s">
        <v>72</v>
      </c>
      <c r="H111" s="374" t="s">
        <v>72</v>
      </c>
      <c r="I111" s="374" t="s">
        <v>72</v>
      </c>
      <c r="J111" s="373"/>
      <c r="K111" s="373"/>
      <c r="L111" s="373"/>
      <c r="M111" s="373"/>
      <c r="N111" s="373"/>
      <c r="O111" s="373"/>
    </row>
    <row r="112" spans="1:15" hidden="1" x14ac:dyDescent="0.2">
      <c r="A112" s="426" t="s">
        <v>372</v>
      </c>
      <c r="B112" s="426"/>
      <c r="C112" s="374" t="s">
        <v>72</v>
      </c>
      <c r="D112" s="374" t="s">
        <v>72</v>
      </c>
      <c r="E112" s="374" t="s">
        <v>72</v>
      </c>
      <c r="F112" s="374" t="s">
        <v>72</v>
      </c>
      <c r="G112" s="374" t="s">
        <v>72</v>
      </c>
      <c r="H112" s="374" t="s">
        <v>72</v>
      </c>
      <c r="I112" s="374" t="s">
        <v>72</v>
      </c>
      <c r="J112" s="373"/>
      <c r="K112" s="373"/>
      <c r="L112" s="373"/>
      <c r="M112" s="373"/>
      <c r="N112" s="373"/>
      <c r="O112" s="373"/>
    </row>
    <row r="113" spans="1:15" hidden="1" x14ac:dyDescent="0.2">
      <c r="A113" s="426" t="s">
        <v>373</v>
      </c>
      <c r="B113" s="426"/>
      <c r="C113" s="374" t="s">
        <v>72</v>
      </c>
      <c r="D113" s="374" t="s">
        <v>72</v>
      </c>
      <c r="E113" s="374" t="s">
        <v>72</v>
      </c>
      <c r="F113" s="374" t="s">
        <v>72</v>
      </c>
      <c r="G113" s="374" t="s">
        <v>72</v>
      </c>
      <c r="H113" s="374" t="s">
        <v>72</v>
      </c>
      <c r="I113" s="374" t="s">
        <v>72</v>
      </c>
      <c r="J113" s="373"/>
      <c r="K113" s="373"/>
      <c r="L113" s="373"/>
      <c r="M113" s="373"/>
      <c r="N113" s="373"/>
      <c r="O113" s="373"/>
    </row>
    <row r="114" spans="1:15" hidden="1" x14ac:dyDescent="0.2">
      <c r="A114" s="426" t="s">
        <v>374</v>
      </c>
      <c r="B114" s="426"/>
      <c r="C114" s="374" t="s">
        <v>72</v>
      </c>
      <c r="D114" s="374" t="s">
        <v>72</v>
      </c>
      <c r="E114" s="374" t="s">
        <v>72</v>
      </c>
      <c r="F114" s="374" t="s">
        <v>72</v>
      </c>
      <c r="G114" s="374" t="s">
        <v>72</v>
      </c>
      <c r="H114" s="374" t="s">
        <v>72</v>
      </c>
      <c r="I114" s="374" t="s">
        <v>72</v>
      </c>
      <c r="J114" s="373"/>
      <c r="K114" s="373"/>
      <c r="L114" s="373"/>
      <c r="M114" s="373"/>
      <c r="N114" s="373"/>
      <c r="O114" s="373"/>
    </row>
    <row r="115" spans="1:15" hidden="1" x14ac:dyDescent="0.2">
      <c r="A115" s="426" t="s">
        <v>375</v>
      </c>
      <c r="B115" s="426"/>
      <c r="C115" s="374" t="s">
        <v>72</v>
      </c>
      <c r="D115" s="374" t="s">
        <v>72</v>
      </c>
      <c r="E115" s="374" t="s">
        <v>72</v>
      </c>
      <c r="F115" s="374" t="s">
        <v>72</v>
      </c>
      <c r="G115" s="374" t="s">
        <v>72</v>
      </c>
      <c r="H115" s="374" t="s">
        <v>72</v>
      </c>
      <c r="I115" s="374" t="s">
        <v>72</v>
      </c>
      <c r="J115" s="373"/>
      <c r="K115" s="373"/>
      <c r="L115" s="373"/>
      <c r="M115" s="373"/>
      <c r="N115" s="373"/>
      <c r="O115" s="373"/>
    </row>
    <row r="116" spans="1:15" hidden="1" x14ac:dyDescent="0.2">
      <c r="A116" s="426" t="s">
        <v>376</v>
      </c>
      <c r="B116" s="426"/>
      <c r="C116" s="357" t="s">
        <v>72</v>
      </c>
      <c r="D116" s="357" t="s">
        <v>72</v>
      </c>
      <c r="E116" s="357" t="s">
        <v>72</v>
      </c>
      <c r="F116" s="357" t="s">
        <v>72</v>
      </c>
      <c r="G116" s="357">
        <v>78982</v>
      </c>
      <c r="H116" s="357">
        <v>78982</v>
      </c>
      <c r="I116" s="357" t="s">
        <v>72</v>
      </c>
      <c r="J116" s="373"/>
      <c r="K116" s="373"/>
      <c r="L116" s="373"/>
      <c r="M116" s="373"/>
      <c r="N116" s="373"/>
      <c r="O116" s="373"/>
    </row>
    <row r="117" spans="1:15" hidden="1" x14ac:dyDescent="0.2">
      <c r="A117" s="426" t="s">
        <v>377</v>
      </c>
      <c r="B117" s="426"/>
      <c r="C117" s="357" t="s">
        <v>72</v>
      </c>
      <c r="D117" s="357" t="s">
        <v>72</v>
      </c>
      <c r="E117" s="357" t="s">
        <v>72</v>
      </c>
      <c r="F117" s="357" t="s">
        <v>72</v>
      </c>
      <c r="G117" s="357" t="s">
        <v>72</v>
      </c>
      <c r="H117" s="357" t="s">
        <v>72</v>
      </c>
      <c r="I117" s="357" t="s">
        <v>72</v>
      </c>
      <c r="J117" s="373"/>
      <c r="K117" s="373"/>
      <c r="L117" s="373"/>
      <c r="M117" s="373"/>
      <c r="N117" s="373"/>
      <c r="O117" s="373"/>
    </row>
    <row r="118" spans="1:15" hidden="1" x14ac:dyDescent="0.2">
      <c r="A118" s="426" t="s">
        <v>378</v>
      </c>
      <c r="B118" s="426"/>
      <c r="C118" s="357" t="s">
        <v>72</v>
      </c>
      <c r="D118" s="357" t="s">
        <v>72</v>
      </c>
      <c r="E118" s="357" t="s">
        <v>72</v>
      </c>
      <c r="F118" s="357" t="s">
        <v>72</v>
      </c>
      <c r="G118" s="357" t="s">
        <v>72</v>
      </c>
      <c r="H118" s="357" t="s">
        <v>72</v>
      </c>
      <c r="I118" s="357" t="s">
        <v>72</v>
      </c>
      <c r="J118" s="373"/>
      <c r="K118" s="373"/>
      <c r="L118" s="373"/>
      <c r="M118" s="373"/>
      <c r="N118" s="373"/>
      <c r="O118" s="373"/>
    </row>
    <row r="119" spans="1:15" hidden="1" x14ac:dyDescent="0.2">
      <c r="A119" s="426" t="s">
        <v>379</v>
      </c>
      <c r="B119" s="426"/>
      <c r="C119" s="374" t="s">
        <v>72</v>
      </c>
      <c r="D119" s="374" t="s">
        <v>72</v>
      </c>
      <c r="E119" s="374" t="s">
        <v>72</v>
      </c>
      <c r="F119" s="374" t="s">
        <v>72</v>
      </c>
      <c r="G119" s="374" t="s">
        <v>72</v>
      </c>
      <c r="H119" s="374" t="s">
        <v>72</v>
      </c>
      <c r="I119" s="374" t="s">
        <v>72</v>
      </c>
      <c r="J119" s="373"/>
      <c r="K119" s="373"/>
      <c r="L119" s="373"/>
      <c r="M119" s="373"/>
      <c r="N119" s="373"/>
      <c r="O119" s="373"/>
    </row>
    <row r="120" spans="1:15" hidden="1" x14ac:dyDescent="0.2">
      <c r="A120" s="426" t="s">
        <v>380</v>
      </c>
      <c r="B120" s="426"/>
      <c r="C120" s="374" t="s">
        <v>72</v>
      </c>
      <c r="D120" s="374" t="s">
        <v>72</v>
      </c>
      <c r="E120" s="374" t="s">
        <v>72</v>
      </c>
      <c r="F120" s="374" t="s">
        <v>72</v>
      </c>
      <c r="G120" s="374" t="s">
        <v>72</v>
      </c>
      <c r="H120" s="374" t="s">
        <v>72</v>
      </c>
      <c r="I120" s="374" t="s">
        <v>72</v>
      </c>
      <c r="J120" s="373"/>
      <c r="K120" s="373"/>
      <c r="L120" s="373"/>
      <c r="M120" s="373"/>
      <c r="N120" s="373"/>
      <c r="O120" s="373"/>
    </row>
    <row r="121" spans="1:15" hidden="1" x14ac:dyDescent="0.2">
      <c r="A121" s="426" t="s">
        <v>381</v>
      </c>
      <c r="B121" s="426"/>
      <c r="C121" s="357" t="s">
        <v>72</v>
      </c>
      <c r="D121" s="357" t="s">
        <v>72</v>
      </c>
      <c r="E121" s="357" t="s">
        <v>72</v>
      </c>
      <c r="F121" s="357" t="s">
        <v>72</v>
      </c>
      <c r="G121" s="357" t="s">
        <v>72</v>
      </c>
      <c r="H121" s="357" t="s">
        <v>72</v>
      </c>
      <c r="I121" s="357" t="s">
        <v>72</v>
      </c>
      <c r="J121" s="373"/>
      <c r="K121" s="373"/>
      <c r="L121" s="373"/>
      <c r="M121" s="373"/>
      <c r="N121" s="373"/>
      <c r="O121" s="373"/>
    </row>
    <row r="122" spans="1:15" hidden="1" x14ac:dyDescent="0.2">
      <c r="A122" s="426" t="s">
        <v>382</v>
      </c>
      <c r="B122" s="426"/>
      <c r="C122" s="357" t="s">
        <v>72</v>
      </c>
      <c r="D122" s="357" t="s">
        <v>72</v>
      </c>
      <c r="E122" s="357" t="s">
        <v>72</v>
      </c>
      <c r="F122" s="357" t="s">
        <v>72</v>
      </c>
      <c r="G122" s="357" t="s">
        <v>72</v>
      </c>
      <c r="H122" s="357" t="s">
        <v>72</v>
      </c>
      <c r="I122" s="357" t="s">
        <v>72</v>
      </c>
      <c r="J122" s="373"/>
      <c r="K122" s="373"/>
      <c r="L122" s="373"/>
      <c r="M122" s="373"/>
      <c r="N122" s="373"/>
      <c r="O122" s="373"/>
    </row>
    <row r="123" spans="1:15" hidden="1" x14ac:dyDescent="0.2">
      <c r="A123" s="426" t="s">
        <v>383</v>
      </c>
      <c r="B123" s="426"/>
      <c r="C123" s="357" t="s">
        <v>72</v>
      </c>
      <c r="D123" s="357" t="s">
        <v>72</v>
      </c>
      <c r="E123" s="357" t="s">
        <v>72</v>
      </c>
      <c r="F123" s="357" t="s">
        <v>72</v>
      </c>
      <c r="G123" s="357" t="s">
        <v>72</v>
      </c>
      <c r="H123" s="357" t="s">
        <v>72</v>
      </c>
      <c r="I123" s="357" t="s">
        <v>72</v>
      </c>
      <c r="J123" s="373"/>
      <c r="K123" s="373"/>
      <c r="L123" s="373"/>
      <c r="M123" s="373"/>
      <c r="N123" s="373"/>
      <c r="O123" s="373"/>
    </row>
    <row r="124" spans="1:15" hidden="1" x14ac:dyDescent="0.2">
      <c r="A124" s="426" t="s">
        <v>384</v>
      </c>
      <c r="B124" s="426"/>
      <c r="C124" s="357" t="s">
        <v>72</v>
      </c>
      <c r="D124" s="357" t="s">
        <v>72</v>
      </c>
      <c r="E124" s="357" t="s">
        <v>72</v>
      </c>
      <c r="F124" s="357" t="s">
        <v>72</v>
      </c>
      <c r="G124" s="357" t="s">
        <v>72</v>
      </c>
      <c r="H124" s="357" t="s">
        <v>72</v>
      </c>
      <c r="I124" s="357" t="s">
        <v>72</v>
      </c>
      <c r="J124" s="373"/>
      <c r="K124" s="373"/>
      <c r="L124" s="373"/>
      <c r="M124" s="373"/>
      <c r="N124" s="373"/>
      <c r="O124" s="373"/>
    </row>
    <row r="125" spans="1:15" hidden="1" x14ac:dyDescent="0.2">
      <c r="A125" s="426" t="s">
        <v>385</v>
      </c>
      <c r="B125" s="426"/>
      <c r="C125" s="357" t="s">
        <v>72</v>
      </c>
      <c r="D125" s="357" t="s">
        <v>72</v>
      </c>
      <c r="E125" s="357" t="s">
        <v>72</v>
      </c>
      <c r="F125" s="357" t="s">
        <v>72</v>
      </c>
      <c r="G125" s="357" t="s">
        <v>72</v>
      </c>
      <c r="H125" s="357" t="s">
        <v>72</v>
      </c>
      <c r="I125" s="357" t="s">
        <v>72</v>
      </c>
      <c r="J125" s="373"/>
      <c r="K125" s="373"/>
      <c r="L125" s="373"/>
      <c r="M125" s="373"/>
      <c r="N125" s="373"/>
      <c r="O125" s="373"/>
    </row>
    <row r="126" spans="1:15" hidden="1" x14ac:dyDescent="0.2">
      <c r="A126" s="426" t="s">
        <v>386</v>
      </c>
      <c r="B126" s="426"/>
      <c r="C126" s="357" t="s">
        <v>72</v>
      </c>
      <c r="D126" s="357" t="s">
        <v>72</v>
      </c>
      <c r="E126" s="357" t="s">
        <v>72</v>
      </c>
      <c r="F126" s="357" t="s">
        <v>72</v>
      </c>
      <c r="G126" s="357" t="s">
        <v>72</v>
      </c>
      <c r="H126" s="357" t="s">
        <v>72</v>
      </c>
      <c r="I126" s="357" t="s">
        <v>72</v>
      </c>
      <c r="J126" s="373"/>
      <c r="K126" s="373"/>
      <c r="L126" s="373"/>
      <c r="M126" s="373"/>
      <c r="N126" s="373"/>
      <c r="O126" s="373"/>
    </row>
    <row r="127" spans="1:15" hidden="1" x14ac:dyDescent="0.2">
      <c r="A127" s="426" t="s">
        <v>387</v>
      </c>
      <c r="B127" s="426"/>
      <c r="C127" s="357" t="s">
        <v>72</v>
      </c>
      <c r="D127" s="357" t="s">
        <v>72</v>
      </c>
      <c r="E127" s="357" t="s">
        <v>72</v>
      </c>
      <c r="F127" s="357" t="s">
        <v>72</v>
      </c>
      <c r="G127" s="357" t="s">
        <v>72</v>
      </c>
      <c r="H127" s="357" t="s">
        <v>72</v>
      </c>
      <c r="I127" s="357" t="s">
        <v>72</v>
      </c>
      <c r="J127" s="373"/>
      <c r="K127" s="373"/>
      <c r="L127" s="373"/>
      <c r="M127" s="373"/>
      <c r="N127" s="373"/>
      <c r="O127" s="373"/>
    </row>
    <row r="128" spans="1:15" hidden="1" x14ac:dyDescent="0.2">
      <c r="A128" s="426" t="s">
        <v>388</v>
      </c>
      <c r="B128" s="426"/>
      <c r="C128" s="357" t="s">
        <v>72</v>
      </c>
      <c r="D128" s="357" t="s">
        <v>72</v>
      </c>
      <c r="E128" s="357" t="s">
        <v>72</v>
      </c>
      <c r="F128" s="357" t="s">
        <v>72</v>
      </c>
      <c r="G128" s="357" t="s">
        <v>72</v>
      </c>
      <c r="H128" s="357" t="s">
        <v>72</v>
      </c>
      <c r="I128" s="357" t="s">
        <v>72</v>
      </c>
      <c r="J128" s="373"/>
      <c r="K128" s="373"/>
      <c r="L128" s="373"/>
      <c r="M128" s="373"/>
      <c r="N128" s="373"/>
      <c r="O128" s="373"/>
    </row>
    <row r="129" spans="1:15" hidden="1" x14ac:dyDescent="0.2">
      <c r="A129" s="426" t="s">
        <v>389</v>
      </c>
      <c r="B129" s="426"/>
      <c r="C129" s="357" t="s">
        <v>72</v>
      </c>
      <c r="D129" s="357" t="s">
        <v>72</v>
      </c>
      <c r="E129" s="357" t="s">
        <v>72</v>
      </c>
      <c r="F129" s="357" t="s">
        <v>72</v>
      </c>
      <c r="G129" s="357" t="s">
        <v>72</v>
      </c>
      <c r="H129" s="357" t="s">
        <v>72</v>
      </c>
      <c r="I129" s="357" t="s">
        <v>72</v>
      </c>
      <c r="J129" s="373"/>
      <c r="K129" s="373"/>
      <c r="L129" s="373"/>
      <c r="M129" s="373"/>
      <c r="N129" s="373"/>
      <c r="O129" s="373"/>
    </row>
    <row r="130" spans="1:15" hidden="1" x14ac:dyDescent="0.2">
      <c r="A130" s="426" t="s">
        <v>390</v>
      </c>
      <c r="B130" s="426"/>
      <c r="C130" s="357">
        <v>259383</v>
      </c>
      <c r="D130" s="357">
        <v>363074</v>
      </c>
      <c r="E130" s="357">
        <v>434775</v>
      </c>
      <c r="F130" s="357">
        <v>278003</v>
      </c>
      <c r="G130" s="357">
        <v>28427</v>
      </c>
      <c r="H130" s="357">
        <v>554140</v>
      </c>
      <c r="I130" s="357">
        <v>485623</v>
      </c>
      <c r="J130" s="373"/>
      <c r="K130" s="373"/>
      <c r="L130" s="373"/>
      <c r="M130" s="373"/>
      <c r="N130" s="373"/>
      <c r="O130" s="373"/>
    </row>
    <row r="131" spans="1:15" hidden="1" x14ac:dyDescent="0.2">
      <c r="A131" s="426" t="s">
        <v>391</v>
      </c>
      <c r="B131" s="426"/>
      <c r="C131" s="357" t="s">
        <v>72</v>
      </c>
      <c r="D131" s="357" t="s">
        <v>72</v>
      </c>
      <c r="E131" s="357" t="s">
        <v>72</v>
      </c>
      <c r="F131" s="357" t="s">
        <v>72</v>
      </c>
      <c r="G131" s="357" t="s">
        <v>72</v>
      </c>
      <c r="H131" s="357" t="s">
        <v>72</v>
      </c>
      <c r="I131" s="357" t="s">
        <v>72</v>
      </c>
      <c r="J131" s="373"/>
      <c r="K131" s="373"/>
      <c r="L131" s="373"/>
      <c r="M131" s="373"/>
      <c r="N131" s="373"/>
      <c r="O131" s="373"/>
    </row>
    <row r="132" spans="1:15" hidden="1" x14ac:dyDescent="0.2">
      <c r="A132" s="426" t="s">
        <v>392</v>
      </c>
      <c r="B132" s="426"/>
      <c r="C132" s="357">
        <v>51877</v>
      </c>
      <c r="D132" s="357">
        <v>73196</v>
      </c>
      <c r="E132" s="357">
        <v>87028</v>
      </c>
      <c r="F132" s="357">
        <v>74155</v>
      </c>
      <c r="G132" s="357">
        <v>18211</v>
      </c>
      <c r="H132" s="357">
        <v>110242</v>
      </c>
      <c r="I132" s="357">
        <v>87549</v>
      </c>
      <c r="J132" s="373"/>
      <c r="K132" s="373"/>
      <c r="L132" s="373"/>
      <c r="M132" s="373"/>
      <c r="N132" s="373"/>
      <c r="O132" s="373"/>
    </row>
    <row r="133" spans="1:15" hidden="1" x14ac:dyDescent="0.2">
      <c r="A133" s="426" t="s">
        <v>393</v>
      </c>
      <c r="B133" s="426"/>
      <c r="C133" s="357">
        <v>207506</v>
      </c>
      <c r="D133" s="357">
        <v>289878</v>
      </c>
      <c r="E133" s="357">
        <v>347747</v>
      </c>
      <c r="F133" s="357">
        <v>203847</v>
      </c>
      <c r="G133" s="357">
        <v>10217</v>
      </c>
      <c r="H133" s="357">
        <v>443898</v>
      </c>
      <c r="I133" s="357">
        <v>398074</v>
      </c>
      <c r="J133" s="373"/>
      <c r="K133" s="373"/>
      <c r="L133" s="373"/>
      <c r="M133" s="373"/>
      <c r="N133" s="373"/>
      <c r="O133" s="373"/>
    </row>
    <row r="134" spans="1:15" hidden="1" x14ac:dyDescent="0.2">
      <c r="A134" s="426" t="s">
        <v>394</v>
      </c>
      <c r="B134" s="426"/>
      <c r="C134" s="357">
        <v>201281</v>
      </c>
      <c r="D134" s="357">
        <v>281174</v>
      </c>
      <c r="E134" s="357">
        <v>337329</v>
      </c>
      <c r="F134" s="357">
        <v>205644</v>
      </c>
      <c r="G134" s="357">
        <v>21018</v>
      </c>
      <c r="H134" s="357">
        <v>443732</v>
      </c>
      <c r="I134" s="357">
        <v>390361</v>
      </c>
      <c r="J134" s="373"/>
      <c r="K134" s="373"/>
      <c r="L134" s="373"/>
      <c r="M134" s="373"/>
      <c r="N134" s="373"/>
      <c r="O134" s="373"/>
    </row>
    <row r="135" spans="1:15" x14ac:dyDescent="0.2">
      <c r="A135" s="426" t="s">
        <v>395</v>
      </c>
      <c r="B135" s="426"/>
      <c r="C135" s="374">
        <v>2985.09</v>
      </c>
      <c r="D135" s="374">
        <v>2084.66</v>
      </c>
      <c r="E135" s="374">
        <v>2500.73</v>
      </c>
      <c r="F135" s="374">
        <v>1514.45</v>
      </c>
      <c r="G135" s="374">
        <v>154.27000000000001</v>
      </c>
      <c r="H135" s="374">
        <v>3256.94</v>
      </c>
      <c r="I135" s="374">
        <v>2865.19</v>
      </c>
      <c r="J135" s="313">
        <f>J136*'Revenue breakdown'!G3</f>
        <v>3875.2581657783385</v>
      </c>
      <c r="K135" s="313">
        <f>K136*'Revenue breakdown'!H3</f>
        <v>3645.6537740997337</v>
      </c>
      <c r="L135" s="313">
        <f>L136*'Revenue breakdown'!I3</f>
        <v>3908.3547150805648</v>
      </c>
      <c r="M135" s="313">
        <f>M136*'Revenue breakdown'!J3</f>
        <v>4980.9216132030278</v>
      </c>
      <c r="N135" s="313">
        <f>N136*'Revenue breakdown'!K3</f>
        <v>4892.4938047409041</v>
      </c>
      <c r="O135" s="313">
        <f>O136*'Revenue breakdown'!L3</f>
        <v>5315.772142241849</v>
      </c>
    </row>
    <row r="136" spans="1:15" x14ac:dyDescent="0.2">
      <c r="A136" s="356"/>
      <c r="B136" s="354" t="s">
        <v>624</v>
      </c>
      <c r="C136" s="374"/>
      <c r="D136" s="374"/>
      <c r="E136" s="364">
        <f>E135/'Revenue breakdown'!B3</f>
        <v>1.6346419397927944E-4</v>
      </c>
      <c r="F136" s="364">
        <f>F135/'Revenue breakdown'!C3</f>
        <v>9.1045668018920338E-5</v>
      </c>
      <c r="G136" s="364">
        <f>G135/'Revenue breakdown'!D3</f>
        <v>1.0522175312249833E-5</v>
      </c>
      <c r="H136" s="364">
        <f>H135/'Revenue breakdown'!E3</f>
        <v>1.4478531436440365E-4</v>
      </c>
      <c r="I136" s="364">
        <f>I135/'Revenue breakdown'!F3</f>
        <v>9.4981399631987229E-5</v>
      </c>
      <c r="J136" s="375">
        <f>AVERAGE(E136:I136)</f>
        <v>1.0095975026136812E-4</v>
      </c>
      <c r="K136" s="375">
        <f t="shared" ref="K136:O136" si="30">AVERAGE(F136:J136)</f>
        <v>8.8458861517785834E-5</v>
      </c>
      <c r="L136" s="375">
        <f t="shared" si="30"/>
        <v>8.7941500217558933E-5</v>
      </c>
      <c r="M136" s="375">
        <f t="shared" si="30"/>
        <v>1.0342536519862075E-4</v>
      </c>
      <c r="N136" s="375">
        <f t="shared" si="30"/>
        <v>9.5153375365464177E-5</v>
      </c>
      <c r="O136" s="375">
        <f t="shared" si="30"/>
        <v>9.5187770512159564E-5</v>
      </c>
    </row>
    <row r="137" spans="1:15" ht="16" hidden="1" thickBot="1" x14ac:dyDescent="0.25">
      <c r="A137" s="427" t="s">
        <v>396</v>
      </c>
      <c r="B137" s="428"/>
      <c r="C137" s="350">
        <v>2985.09</v>
      </c>
      <c r="D137" s="350">
        <v>2084.66</v>
      </c>
      <c r="E137" s="350">
        <v>2500.73</v>
      </c>
      <c r="F137" s="350">
        <v>1514.45</v>
      </c>
      <c r="G137" s="350">
        <v>154.27000000000001</v>
      </c>
      <c r="H137" s="350">
        <v>3256.94</v>
      </c>
      <c r="I137" s="350">
        <v>2865.19</v>
      </c>
    </row>
    <row r="138" spans="1:15" ht="16" hidden="1" thickBot="1" x14ac:dyDescent="0.25">
      <c r="A138" s="402" t="s">
        <v>397</v>
      </c>
      <c r="B138" s="403"/>
      <c r="C138" s="22" t="s">
        <v>72</v>
      </c>
      <c r="D138" s="22" t="s">
        <v>72</v>
      </c>
      <c r="E138" s="22" t="s">
        <v>72</v>
      </c>
      <c r="F138" s="22" t="s">
        <v>72</v>
      </c>
      <c r="G138" s="22" t="s">
        <v>72</v>
      </c>
      <c r="H138" s="22" t="s">
        <v>72</v>
      </c>
      <c r="I138" s="22" t="s">
        <v>72</v>
      </c>
    </row>
    <row r="139" spans="1:15" ht="16" hidden="1" thickBot="1" x14ac:dyDescent="0.25">
      <c r="A139" s="402" t="s">
        <v>398</v>
      </c>
      <c r="B139" s="403"/>
      <c r="C139" s="14" t="s">
        <v>72</v>
      </c>
      <c r="D139" s="14" t="s">
        <v>72</v>
      </c>
      <c r="E139" s="14" t="s">
        <v>72</v>
      </c>
      <c r="F139" s="14" t="s">
        <v>72</v>
      </c>
      <c r="G139" s="14" t="s">
        <v>72</v>
      </c>
      <c r="H139" s="14" t="s">
        <v>72</v>
      </c>
      <c r="I139" s="14" t="s">
        <v>72</v>
      </c>
    </row>
    <row r="140" spans="1:15" ht="16" hidden="1" thickBot="1" x14ac:dyDescent="0.25">
      <c r="A140" s="402" t="s">
        <v>399</v>
      </c>
      <c r="B140" s="403"/>
      <c r="C140" s="14" t="s">
        <v>72</v>
      </c>
      <c r="D140" s="14" t="s">
        <v>72</v>
      </c>
      <c r="E140" s="14" t="s">
        <v>72</v>
      </c>
      <c r="F140" s="14" t="s">
        <v>72</v>
      </c>
      <c r="G140" s="14" t="s">
        <v>72</v>
      </c>
      <c r="H140" s="14" t="s">
        <v>72</v>
      </c>
      <c r="I140" s="14" t="s">
        <v>72</v>
      </c>
    </row>
    <row r="141" spans="1:15" ht="16" hidden="1" thickBot="1" x14ac:dyDescent="0.25">
      <c r="A141" s="402" t="s">
        <v>400</v>
      </c>
      <c r="B141" s="403"/>
      <c r="C141" s="14" t="s">
        <v>72</v>
      </c>
      <c r="D141" s="14">
        <v>586</v>
      </c>
      <c r="E141" s="14">
        <v>405</v>
      </c>
      <c r="F141" s="14">
        <v>415</v>
      </c>
      <c r="G141" s="14">
        <v>497</v>
      </c>
      <c r="H141" s="14">
        <v>2110</v>
      </c>
      <c r="I141" s="14">
        <v>4571</v>
      </c>
    </row>
    <row r="142" spans="1:15" ht="16" hidden="1" thickBot="1" x14ac:dyDescent="0.25">
      <c r="A142" s="402" t="s">
        <v>401</v>
      </c>
      <c r="B142" s="403"/>
      <c r="C142" s="14" t="s">
        <v>72</v>
      </c>
      <c r="D142" s="14" t="s">
        <v>72</v>
      </c>
      <c r="E142" s="14" t="s">
        <v>72</v>
      </c>
      <c r="F142" s="14" t="s">
        <v>72</v>
      </c>
      <c r="G142" s="14" t="s">
        <v>72</v>
      </c>
      <c r="H142" s="14" t="s">
        <v>72</v>
      </c>
      <c r="I142" s="14" t="s">
        <v>72</v>
      </c>
    </row>
    <row r="143" spans="1:15" ht="16" hidden="1" thickBot="1" x14ac:dyDescent="0.25">
      <c r="A143" s="402" t="s">
        <v>402</v>
      </c>
      <c r="B143" s="403"/>
      <c r="C143" s="14">
        <v>1705</v>
      </c>
      <c r="D143" s="14">
        <v>498</v>
      </c>
      <c r="E143" s="14">
        <v>376</v>
      </c>
      <c r="F143" s="14">
        <v>421</v>
      </c>
      <c r="G143" s="14">
        <v>876</v>
      </c>
      <c r="H143" s="14">
        <v>1701</v>
      </c>
      <c r="I143" s="14">
        <v>110715</v>
      </c>
    </row>
    <row r="144" spans="1:15" ht="16" hidden="1" thickBot="1" x14ac:dyDescent="0.25">
      <c r="A144" s="402" t="s">
        <v>403</v>
      </c>
      <c r="B144" s="403"/>
      <c r="C144" s="14" t="s">
        <v>72</v>
      </c>
      <c r="D144" s="14" t="s">
        <v>72</v>
      </c>
      <c r="E144" s="14" t="s">
        <v>72</v>
      </c>
      <c r="F144" s="14" t="s">
        <v>72</v>
      </c>
      <c r="G144" s="14" t="s">
        <v>72</v>
      </c>
      <c r="H144" s="14" t="s">
        <v>72</v>
      </c>
      <c r="I144" s="14" t="s">
        <v>72</v>
      </c>
    </row>
    <row r="145" spans="1:9" ht="16" hidden="1" thickBot="1" x14ac:dyDescent="0.25">
      <c r="A145" s="402" t="s">
        <v>404</v>
      </c>
      <c r="B145" s="403"/>
      <c r="C145" s="14">
        <v>73839</v>
      </c>
      <c r="D145" s="14">
        <v>78951</v>
      </c>
      <c r="E145" s="14">
        <v>95671</v>
      </c>
      <c r="F145" s="14">
        <v>135183</v>
      </c>
      <c r="G145" s="14">
        <v>113682</v>
      </c>
      <c r="H145" s="14">
        <v>132229</v>
      </c>
      <c r="I145" s="14">
        <v>231528</v>
      </c>
    </row>
    <row r="146" spans="1:9" ht="16" hidden="1" thickBot="1" x14ac:dyDescent="0.25">
      <c r="A146" s="402" t="s">
        <v>405</v>
      </c>
      <c r="B146" s="403"/>
      <c r="C146" s="14" t="s">
        <v>72</v>
      </c>
      <c r="D146" s="14" t="s">
        <v>72</v>
      </c>
      <c r="E146" s="14" t="s">
        <v>72</v>
      </c>
      <c r="F146" s="14" t="s">
        <v>72</v>
      </c>
      <c r="G146" s="14" t="s">
        <v>72</v>
      </c>
      <c r="H146" s="14" t="s">
        <v>72</v>
      </c>
      <c r="I146" s="14" t="s">
        <v>72</v>
      </c>
    </row>
    <row r="147" spans="1:9" ht="16" hidden="1" thickBot="1" x14ac:dyDescent="0.25">
      <c r="A147" s="402" t="s">
        <v>406</v>
      </c>
      <c r="B147" s="403"/>
      <c r="C147" s="14" t="s">
        <v>72</v>
      </c>
      <c r="D147" s="14" t="s">
        <v>72</v>
      </c>
      <c r="E147" s="14" t="s">
        <v>72</v>
      </c>
      <c r="F147" s="14" t="s">
        <v>72</v>
      </c>
      <c r="G147" s="14" t="s">
        <v>72</v>
      </c>
      <c r="H147" s="14" t="s">
        <v>72</v>
      </c>
      <c r="I147" s="14" t="s">
        <v>72</v>
      </c>
    </row>
    <row r="148" spans="1:9" ht="16" hidden="1" thickBot="1" x14ac:dyDescent="0.25">
      <c r="A148" s="402" t="s">
        <v>407</v>
      </c>
      <c r="B148" s="403"/>
      <c r="C148" s="14" t="s">
        <v>72</v>
      </c>
      <c r="D148" s="14" t="s">
        <v>72</v>
      </c>
      <c r="E148" s="14" t="s">
        <v>72</v>
      </c>
      <c r="F148" s="14" t="s">
        <v>72</v>
      </c>
      <c r="G148" s="14" t="s">
        <v>72</v>
      </c>
      <c r="H148" s="14" t="s">
        <v>72</v>
      </c>
      <c r="I148" s="14" t="s">
        <v>72</v>
      </c>
    </row>
    <row r="149" spans="1:9" ht="16" hidden="1" thickBot="1" x14ac:dyDescent="0.25">
      <c r="A149" s="402" t="s">
        <v>408</v>
      </c>
      <c r="B149" s="403"/>
      <c r="C149" s="14" t="s">
        <v>72</v>
      </c>
      <c r="D149" s="14" t="s">
        <v>72</v>
      </c>
      <c r="E149" s="14" t="s">
        <v>72</v>
      </c>
      <c r="F149" s="14" t="s">
        <v>72</v>
      </c>
      <c r="G149" s="14" t="s">
        <v>72</v>
      </c>
      <c r="H149" s="14" t="s">
        <v>72</v>
      </c>
      <c r="I149" s="14" t="s">
        <v>72</v>
      </c>
    </row>
    <row r="150" spans="1:9" ht="16" hidden="1" thickBot="1" x14ac:dyDescent="0.25">
      <c r="A150" s="402" t="s">
        <v>409</v>
      </c>
      <c r="B150" s="403"/>
      <c r="C150" s="14" t="s">
        <v>72</v>
      </c>
      <c r="D150" s="14" t="s">
        <v>72</v>
      </c>
      <c r="E150" s="14" t="s">
        <v>72</v>
      </c>
      <c r="F150" s="14" t="s">
        <v>72</v>
      </c>
      <c r="G150" s="14">
        <v>462395</v>
      </c>
      <c r="H150" s="14">
        <v>658127</v>
      </c>
      <c r="I150" s="14">
        <v>818241</v>
      </c>
    </row>
    <row r="151" spans="1:9" ht="16" hidden="1" thickBot="1" x14ac:dyDescent="0.25">
      <c r="A151" s="402" t="s">
        <v>410</v>
      </c>
      <c r="B151" s="403"/>
      <c r="C151" s="14">
        <v>526826</v>
      </c>
      <c r="D151" s="14">
        <v>646073</v>
      </c>
      <c r="E151" s="14">
        <v>647727</v>
      </c>
      <c r="F151" s="14">
        <v>783800</v>
      </c>
      <c r="G151" s="14">
        <v>886608</v>
      </c>
      <c r="H151" s="14">
        <v>1365500</v>
      </c>
      <c r="I151" s="14">
        <v>1957142</v>
      </c>
    </row>
    <row r="152" spans="1:9" ht="16" hidden="1" thickBot="1" x14ac:dyDescent="0.25">
      <c r="A152" s="402" t="s">
        <v>411</v>
      </c>
      <c r="B152" s="403"/>
      <c r="C152" s="14" t="s">
        <v>72</v>
      </c>
      <c r="D152" s="14" t="s">
        <v>72</v>
      </c>
      <c r="E152" s="14" t="s">
        <v>72</v>
      </c>
      <c r="F152" s="14" t="s">
        <v>72</v>
      </c>
      <c r="G152" s="14" t="s">
        <v>72</v>
      </c>
      <c r="H152" s="14" t="s">
        <v>72</v>
      </c>
      <c r="I152" s="14" t="s">
        <v>72</v>
      </c>
    </row>
    <row r="153" spans="1:9" ht="16" hidden="1" thickBot="1" x14ac:dyDescent="0.25">
      <c r="A153" s="402" t="s">
        <v>412</v>
      </c>
      <c r="B153" s="403"/>
      <c r="C153" s="14" t="s">
        <v>72</v>
      </c>
      <c r="D153" s="14" t="s">
        <v>72</v>
      </c>
      <c r="E153" s="14" t="s">
        <v>72</v>
      </c>
      <c r="F153" s="14" t="s">
        <v>72</v>
      </c>
      <c r="G153" s="14" t="s">
        <v>72</v>
      </c>
      <c r="H153" s="14" t="s">
        <v>72</v>
      </c>
      <c r="I153" s="14" t="s">
        <v>72</v>
      </c>
    </row>
    <row r="154" spans="1:9" ht="16" hidden="1" thickBot="1" x14ac:dyDescent="0.25">
      <c r="A154" s="402" t="s">
        <v>413</v>
      </c>
      <c r="B154" s="403"/>
      <c r="C154" s="14" t="s">
        <v>72</v>
      </c>
      <c r="D154" s="14" t="s">
        <v>72</v>
      </c>
      <c r="E154" s="14" t="s">
        <v>72</v>
      </c>
      <c r="F154" s="14" t="s">
        <v>72</v>
      </c>
      <c r="G154" s="14" t="s">
        <v>72</v>
      </c>
      <c r="H154" s="14" t="s">
        <v>72</v>
      </c>
      <c r="I154" s="14" t="s">
        <v>72</v>
      </c>
    </row>
    <row r="155" spans="1:9" ht="16" hidden="1" thickBot="1" x14ac:dyDescent="0.25">
      <c r="A155" s="402" t="s">
        <v>414</v>
      </c>
      <c r="B155" s="403"/>
      <c r="C155" s="14" t="s">
        <v>72</v>
      </c>
      <c r="D155" s="14" t="s">
        <v>72</v>
      </c>
      <c r="E155" s="14" t="s">
        <v>72</v>
      </c>
      <c r="F155" s="14" t="s">
        <v>72</v>
      </c>
      <c r="G155" s="14" t="s">
        <v>72</v>
      </c>
      <c r="H155" s="14" t="s">
        <v>72</v>
      </c>
      <c r="I155" s="14" t="s">
        <v>72</v>
      </c>
    </row>
    <row r="156" spans="1:9" ht="16" hidden="1" thickBot="1" x14ac:dyDescent="0.25">
      <c r="A156" s="402" t="s">
        <v>415</v>
      </c>
      <c r="B156" s="403"/>
      <c r="C156" s="14" t="s">
        <v>72</v>
      </c>
      <c r="D156" s="14" t="s">
        <v>72</v>
      </c>
      <c r="E156" s="14" t="s">
        <v>72</v>
      </c>
      <c r="F156" s="14" t="s">
        <v>72</v>
      </c>
      <c r="G156" s="14" t="s">
        <v>72</v>
      </c>
      <c r="H156" s="14" t="s">
        <v>72</v>
      </c>
      <c r="I156" s="14" t="s">
        <v>72</v>
      </c>
    </row>
    <row r="157" spans="1:9" ht="16" hidden="1" thickBot="1" x14ac:dyDescent="0.25">
      <c r="A157" s="402" t="s">
        <v>416</v>
      </c>
      <c r="B157" s="403"/>
      <c r="C157" s="14" t="s">
        <v>72</v>
      </c>
      <c r="D157" s="14" t="s">
        <v>72</v>
      </c>
      <c r="E157" s="14" t="s">
        <v>72</v>
      </c>
      <c r="F157" s="14" t="s">
        <v>72</v>
      </c>
      <c r="G157" s="14" t="s">
        <v>72</v>
      </c>
      <c r="H157" s="14" t="s">
        <v>72</v>
      </c>
      <c r="I157" s="14" t="s">
        <v>72</v>
      </c>
    </row>
    <row r="158" spans="1:9" ht="16" hidden="1" thickBot="1" x14ac:dyDescent="0.25">
      <c r="A158" s="402" t="s">
        <v>417</v>
      </c>
      <c r="B158" s="403"/>
      <c r="C158" s="14" t="s">
        <v>72</v>
      </c>
      <c r="D158" s="14" t="s">
        <v>72</v>
      </c>
      <c r="E158" s="14" t="s">
        <v>72</v>
      </c>
      <c r="F158" s="14" t="s">
        <v>72</v>
      </c>
      <c r="G158" s="14" t="s">
        <v>72</v>
      </c>
      <c r="H158" s="14" t="s">
        <v>72</v>
      </c>
      <c r="I158" s="14" t="s">
        <v>72</v>
      </c>
    </row>
    <row r="159" spans="1:9" ht="16" hidden="1" thickBot="1" x14ac:dyDescent="0.25">
      <c r="A159" s="402" t="s">
        <v>418</v>
      </c>
      <c r="B159" s="403"/>
      <c r="C159" s="14" t="s">
        <v>72</v>
      </c>
      <c r="D159" s="14" t="s">
        <v>72</v>
      </c>
      <c r="E159" s="14" t="s">
        <v>72</v>
      </c>
      <c r="F159" s="14" t="s">
        <v>72</v>
      </c>
      <c r="G159" s="14" t="s">
        <v>72</v>
      </c>
      <c r="H159" s="14">
        <v>190112</v>
      </c>
      <c r="I159" s="14">
        <v>347493</v>
      </c>
    </row>
    <row r="160" spans="1:9" ht="16" hidden="1" thickBot="1" x14ac:dyDescent="0.25">
      <c r="A160" s="402" t="s">
        <v>419</v>
      </c>
      <c r="B160" s="403"/>
      <c r="C160" s="14" t="s">
        <v>72</v>
      </c>
      <c r="D160" s="14" t="s">
        <v>72</v>
      </c>
      <c r="E160" s="14" t="s">
        <v>72</v>
      </c>
      <c r="F160" s="14" t="s">
        <v>72</v>
      </c>
      <c r="G160" s="14" t="s">
        <v>72</v>
      </c>
      <c r="H160" s="14" t="s">
        <v>72</v>
      </c>
      <c r="I160" s="14" t="s">
        <v>72</v>
      </c>
    </row>
    <row r="161" spans="1:9" ht="16" hidden="1" thickBot="1" x14ac:dyDescent="0.25">
      <c r="A161" s="402" t="s">
        <v>420</v>
      </c>
      <c r="B161" s="403"/>
      <c r="C161" s="14" t="s">
        <v>72</v>
      </c>
      <c r="D161" s="14" t="s">
        <v>72</v>
      </c>
      <c r="E161" s="14">
        <v>16</v>
      </c>
      <c r="F161" s="14">
        <v>9168</v>
      </c>
      <c r="G161" s="14">
        <v>14502</v>
      </c>
      <c r="H161" s="14">
        <v>-166</v>
      </c>
      <c r="I161" s="14">
        <v>-7713</v>
      </c>
    </row>
    <row r="162" spans="1:9" ht="16" hidden="1" thickBot="1" x14ac:dyDescent="0.25">
      <c r="A162" s="402" t="s">
        <v>421</v>
      </c>
      <c r="B162" s="403"/>
      <c r="C162" s="14" t="s">
        <v>72</v>
      </c>
      <c r="D162" s="14" t="s">
        <v>72</v>
      </c>
      <c r="E162" s="14" t="s">
        <v>72</v>
      </c>
      <c r="F162" s="14" t="s">
        <v>72</v>
      </c>
      <c r="G162" s="14" t="s">
        <v>72</v>
      </c>
      <c r="H162" s="14" t="s">
        <v>72</v>
      </c>
      <c r="I162" s="14" t="s">
        <v>72</v>
      </c>
    </row>
    <row r="163" spans="1:9" ht="16" hidden="1" thickBot="1" x14ac:dyDescent="0.25">
      <c r="A163" s="402" t="s">
        <v>422</v>
      </c>
      <c r="B163" s="403"/>
      <c r="C163" s="14" t="s">
        <v>72</v>
      </c>
      <c r="D163" s="14" t="s">
        <v>72</v>
      </c>
      <c r="E163" s="14" t="s">
        <v>72</v>
      </c>
      <c r="F163" s="14" t="s">
        <v>72</v>
      </c>
      <c r="G163" s="14" t="s">
        <v>72</v>
      </c>
      <c r="H163" s="14" t="s">
        <v>72</v>
      </c>
      <c r="I163" s="14" t="s">
        <v>72</v>
      </c>
    </row>
    <row r="164" spans="1:9" ht="16" hidden="1" thickBot="1" x14ac:dyDescent="0.25">
      <c r="A164" s="402" t="s">
        <v>423</v>
      </c>
      <c r="B164" s="403"/>
      <c r="C164" s="14" t="s">
        <v>72</v>
      </c>
      <c r="D164" s="14" t="s">
        <v>72</v>
      </c>
      <c r="E164" s="14" t="s">
        <v>72</v>
      </c>
      <c r="F164" s="14" t="s">
        <v>72</v>
      </c>
      <c r="G164" s="14" t="s">
        <v>72</v>
      </c>
      <c r="H164" s="14" t="s">
        <v>72</v>
      </c>
      <c r="I164" s="14" t="s">
        <v>72</v>
      </c>
    </row>
    <row r="165" spans="1:9" ht="16" hidden="1" thickBot="1" x14ac:dyDescent="0.25">
      <c r="A165" s="402" t="s">
        <v>424</v>
      </c>
      <c r="B165" s="403"/>
      <c r="C165" s="14" t="s">
        <v>72</v>
      </c>
      <c r="D165" s="14" t="s">
        <v>72</v>
      </c>
      <c r="E165" s="14" t="s">
        <v>72</v>
      </c>
      <c r="F165" s="14" t="s">
        <v>72</v>
      </c>
      <c r="G165" s="14" t="s">
        <v>72</v>
      </c>
      <c r="H165" s="14" t="s">
        <v>72</v>
      </c>
      <c r="I165" s="14" t="s">
        <v>72</v>
      </c>
    </row>
    <row r="166" spans="1:9" ht="16" hidden="1" thickBot="1" x14ac:dyDescent="0.25">
      <c r="A166" s="402" t="s">
        <v>425</v>
      </c>
      <c r="B166" s="403"/>
      <c r="C166" s="14" t="s">
        <v>72</v>
      </c>
      <c r="D166" s="14" t="s">
        <v>72</v>
      </c>
      <c r="E166" s="14" t="s">
        <v>72</v>
      </c>
      <c r="F166" s="14" t="s">
        <v>72</v>
      </c>
      <c r="G166" s="14" t="s">
        <v>72</v>
      </c>
      <c r="H166" s="14" t="s">
        <v>72</v>
      </c>
      <c r="I166" s="14" t="s">
        <v>72</v>
      </c>
    </row>
    <row r="167" spans="1:9" ht="16" hidden="1" thickBot="1" x14ac:dyDescent="0.25">
      <c r="A167" s="402" t="s">
        <v>426</v>
      </c>
      <c r="B167" s="403"/>
      <c r="C167" s="14" t="s">
        <v>72</v>
      </c>
      <c r="D167" s="14" t="s">
        <v>72</v>
      </c>
      <c r="E167" s="14" t="s">
        <v>72</v>
      </c>
      <c r="F167" s="14" t="s">
        <v>72</v>
      </c>
      <c r="G167" s="14" t="s">
        <v>72</v>
      </c>
      <c r="H167" s="14" t="s">
        <v>72</v>
      </c>
      <c r="I167" s="14" t="s">
        <v>72</v>
      </c>
    </row>
    <row r="168" spans="1:9" ht="16" hidden="1" thickBot="1" x14ac:dyDescent="0.25">
      <c r="A168" s="402" t="s">
        <v>427</v>
      </c>
      <c r="B168" s="403"/>
      <c r="C168" s="14" t="s">
        <v>72</v>
      </c>
      <c r="D168" s="14" t="s">
        <v>72</v>
      </c>
      <c r="E168" s="14" t="s">
        <v>72</v>
      </c>
      <c r="F168" s="14" t="s">
        <v>72</v>
      </c>
      <c r="G168" s="14" t="s">
        <v>72</v>
      </c>
      <c r="H168" s="14" t="s">
        <v>72</v>
      </c>
      <c r="I168" s="14" t="s">
        <v>72</v>
      </c>
    </row>
    <row r="169" spans="1:9" ht="16" hidden="1" thickBot="1" x14ac:dyDescent="0.25">
      <c r="A169" s="402" t="s">
        <v>428</v>
      </c>
      <c r="B169" s="403"/>
      <c r="C169" s="14" t="s">
        <v>72</v>
      </c>
      <c r="D169" s="14" t="s">
        <v>72</v>
      </c>
      <c r="E169" s="14" t="s">
        <v>72</v>
      </c>
      <c r="F169" s="14" t="s">
        <v>72</v>
      </c>
      <c r="G169" s="14" t="s">
        <v>72</v>
      </c>
      <c r="H169" s="14" t="s">
        <v>72</v>
      </c>
      <c r="I169" s="14" t="s">
        <v>72</v>
      </c>
    </row>
    <row r="170" spans="1:9" ht="16" hidden="1" thickBot="1" x14ac:dyDescent="0.25">
      <c r="A170" s="402" t="s">
        <v>429</v>
      </c>
      <c r="B170" s="403"/>
      <c r="C170" s="14" t="s">
        <v>72</v>
      </c>
      <c r="D170" s="14" t="s">
        <v>72</v>
      </c>
      <c r="E170" s="14" t="s">
        <v>72</v>
      </c>
      <c r="F170" s="14" t="s">
        <v>72</v>
      </c>
      <c r="G170" s="14" t="s">
        <v>72</v>
      </c>
      <c r="H170" s="14" t="s">
        <v>72</v>
      </c>
      <c r="I170" s="14" t="s">
        <v>72</v>
      </c>
    </row>
    <row r="171" spans="1:9" ht="16" hidden="1" thickBot="1" x14ac:dyDescent="0.25">
      <c r="A171" s="402" t="s">
        <v>430</v>
      </c>
      <c r="B171" s="403"/>
      <c r="C171" s="14" t="s">
        <v>72</v>
      </c>
      <c r="D171" s="14" t="s">
        <v>72</v>
      </c>
      <c r="E171" s="14" t="s">
        <v>72</v>
      </c>
      <c r="F171" s="14" t="s">
        <v>72</v>
      </c>
      <c r="G171" s="14" t="s">
        <v>72</v>
      </c>
      <c r="H171" s="14" t="s">
        <v>72</v>
      </c>
      <c r="I171" s="14" t="s">
        <v>72</v>
      </c>
    </row>
    <row r="172" spans="1:9" ht="16" hidden="1" thickBot="1" x14ac:dyDescent="0.25">
      <c r="A172" s="402" t="s">
        <v>431</v>
      </c>
      <c r="B172" s="403"/>
      <c r="C172" s="14" t="s">
        <v>72</v>
      </c>
      <c r="D172" s="14" t="s">
        <v>72</v>
      </c>
      <c r="E172" s="14" t="s">
        <v>72</v>
      </c>
      <c r="F172" s="14" t="s">
        <v>72</v>
      </c>
      <c r="G172" s="14" t="s">
        <v>72</v>
      </c>
      <c r="H172" s="14" t="s">
        <v>72</v>
      </c>
      <c r="I172" s="14" t="s">
        <v>72</v>
      </c>
    </row>
    <row r="173" spans="1:9" ht="16" hidden="1" thickBot="1" x14ac:dyDescent="0.25">
      <c r="A173" s="402" t="s">
        <v>432</v>
      </c>
      <c r="B173" s="403"/>
      <c r="C173" s="14" t="s">
        <v>72</v>
      </c>
      <c r="D173" s="14" t="s">
        <v>72</v>
      </c>
      <c r="E173" s="14" t="s">
        <v>72</v>
      </c>
      <c r="F173" s="14" t="s">
        <v>72</v>
      </c>
      <c r="G173" s="14" t="s">
        <v>72</v>
      </c>
      <c r="H173" s="14" t="s">
        <v>72</v>
      </c>
      <c r="I173" s="14" t="s">
        <v>72</v>
      </c>
    </row>
    <row r="174" spans="1:9" ht="16" hidden="1" thickBot="1" x14ac:dyDescent="0.25">
      <c r="A174" s="402" t="s">
        <v>433</v>
      </c>
      <c r="B174" s="403"/>
      <c r="C174" s="14" t="s">
        <v>72</v>
      </c>
      <c r="D174" s="14" t="s">
        <v>72</v>
      </c>
      <c r="E174" s="14" t="s">
        <v>72</v>
      </c>
      <c r="F174" s="14" t="s">
        <v>72</v>
      </c>
      <c r="G174" s="14" t="s">
        <v>72</v>
      </c>
      <c r="H174" s="14" t="s">
        <v>72</v>
      </c>
      <c r="I174" s="14" t="s">
        <v>72</v>
      </c>
    </row>
    <row r="175" spans="1:9" ht="16" hidden="1" thickBot="1" x14ac:dyDescent="0.25">
      <c r="A175" s="402" t="s">
        <v>434</v>
      </c>
      <c r="B175" s="403"/>
      <c r="C175" s="14" t="s">
        <v>72</v>
      </c>
      <c r="D175" s="14" t="s">
        <v>72</v>
      </c>
      <c r="E175" s="14" t="s">
        <v>72</v>
      </c>
      <c r="F175" s="14" t="s">
        <v>72</v>
      </c>
      <c r="G175" s="14" t="s">
        <v>72</v>
      </c>
      <c r="H175" s="14" t="s">
        <v>72</v>
      </c>
      <c r="I175" s="14" t="s">
        <v>72</v>
      </c>
    </row>
    <row r="176" spans="1:9" ht="16" hidden="1" thickBot="1" x14ac:dyDescent="0.25">
      <c r="A176" s="402" t="s">
        <v>435</v>
      </c>
      <c r="B176" s="403"/>
      <c r="C176" s="21" t="s">
        <v>72</v>
      </c>
      <c r="D176" s="21" t="s">
        <v>72</v>
      </c>
      <c r="E176" s="21" t="s">
        <v>72</v>
      </c>
      <c r="F176" s="21" t="s">
        <v>72</v>
      </c>
      <c r="G176" s="21" t="s">
        <v>72</v>
      </c>
      <c r="H176" s="21" t="s">
        <v>72</v>
      </c>
      <c r="I176" s="21" t="s">
        <v>72</v>
      </c>
    </row>
    <row r="177" spans="1:9" ht="16" hidden="1" thickBot="1" x14ac:dyDescent="0.25">
      <c r="A177" s="402" t="s">
        <v>436</v>
      </c>
      <c r="B177" s="403"/>
      <c r="C177" s="14" t="s">
        <v>72</v>
      </c>
      <c r="D177" s="14" t="s">
        <v>72</v>
      </c>
      <c r="E177" s="14" t="s">
        <v>72</v>
      </c>
      <c r="F177" s="14" t="s">
        <v>72</v>
      </c>
      <c r="G177" s="14" t="s">
        <v>72</v>
      </c>
      <c r="H177" s="14" t="s">
        <v>72</v>
      </c>
      <c r="I177" s="14" t="s">
        <v>72</v>
      </c>
    </row>
    <row r="178" spans="1:9" ht="16" hidden="1" thickBot="1" x14ac:dyDescent="0.25">
      <c r="A178" s="402" t="s">
        <v>437</v>
      </c>
      <c r="B178" s="403"/>
      <c r="C178" s="14" t="s">
        <v>72</v>
      </c>
      <c r="D178" s="14" t="s">
        <v>72</v>
      </c>
      <c r="E178" s="14" t="s">
        <v>72</v>
      </c>
      <c r="F178" s="14" t="s">
        <v>72</v>
      </c>
      <c r="G178" s="14" t="s">
        <v>72</v>
      </c>
      <c r="H178" s="14" t="s">
        <v>72</v>
      </c>
      <c r="I178" s="14" t="s">
        <v>72</v>
      </c>
    </row>
    <row r="179" spans="1:9" ht="16" hidden="1" thickBot="1" x14ac:dyDescent="0.25">
      <c r="A179" s="402" t="s">
        <v>438</v>
      </c>
      <c r="B179" s="403"/>
      <c r="C179" s="22" t="s">
        <v>72</v>
      </c>
      <c r="D179" s="22" t="s">
        <v>72</v>
      </c>
      <c r="E179" s="22" t="s">
        <v>72</v>
      </c>
      <c r="F179" s="22" t="s">
        <v>72</v>
      </c>
      <c r="G179" s="22" t="s">
        <v>72</v>
      </c>
      <c r="H179" s="22" t="s">
        <v>72</v>
      </c>
      <c r="I179" s="22" t="s">
        <v>72</v>
      </c>
    </row>
    <row r="180" spans="1:9" ht="16" hidden="1" thickBot="1" x14ac:dyDescent="0.25">
      <c r="A180" s="402" t="s">
        <v>439</v>
      </c>
      <c r="B180" s="403"/>
      <c r="C180" s="22" t="s">
        <v>72</v>
      </c>
      <c r="D180" s="22" t="s">
        <v>72</v>
      </c>
      <c r="E180" s="22" t="s">
        <v>72</v>
      </c>
      <c r="F180" s="22" t="s">
        <v>72</v>
      </c>
      <c r="G180" s="22" t="s">
        <v>72</v>
      </c>
      <c r="H180" s="22" t="s">
        <v>72</v>
      </c>
      <c r="I180" s="22" t="s">
        <v>72</v>
      </c>
    </row>
    <row r="181" spans="1:9" ht="16" hidden="1" thickBot="1" x14ac:dyDescent="0.25">
      <c r="A181" s="402" t="s">
        <v>440</v>
      </c>
      <c r="B181" s="403"/>
      <c r="C181" s="14" t="s">
        <v>72</v>
      </c>
      <c r="D181" s="14" t="s">
        <v>72</v>
      </c>
      <c r="E181" s="14" t="s">
        <v>72</v>
      </c>
      <c r="F181" s="14" t="s">
        <v>72</v>
      </c>
      <c r="G181" s="14" t="s">
        <v>72</v>
      </c>
      <c r="H181" s="14" t="s">
        <v>72</v>
      </c>
      <c r="I181" s="14" t="s">
        <v>72</v>
      </c>
    </row>
    <row r="182" spans="1:9" ht="16" hidden="1" thickBot="1" x14ac:dyDescent="0.25">
      <c r="A182" s="402" t="s">
        <v>441</v>
      </c>
      <c r="B182" s="403"/>
      <c r="C182" s="14" t="s">
        <v>72</v>
      </c>
      <c r="D182" s="14" t="s">
        <v>72</v>
      </c>
      <c r="E182" s="14" t="s">
        <v>72</v>
      </c>
      <c r="F182" s="14" t="s">
        <v>72</v>
      </c>
      <c r="G182" s="14" t="s">
        <v>72</v>
      </c>
      <c r="H182" s="14" t="s">
        <v>72</v>
      </c>
      <c r="I182" s="14" t="s">
        <v>72</v>
      </c>
    </row>
    <row r="183" spans="1:9" ht="16" hidden="1" thickBot="1" x14ac:dyDescent="0.25">
      <c r="A183" s="402" t="s">
        <v>442</v>
      </c>
      <c r="B183" s="403"/>
      <c r="C183" s="14" t="s">
        <v>72</v>
      </c>
      <c r="D183" s="14" t="s">
        <v>72</v>
      </c>
      <c r="E183" s="14" t="s">
        <v>72</v>
      </c>
      <c r="F183" s="14" t="s">
        <v>72</v>
      </c>
      <c r="G183" s="14" t="s">
        <v>72</v>
      </c>
      <c r="H183" s="14" t="s">
        <v>72</v>
      </c>
      <c r="I183" s="14" t="s">
        <v>72</v>
      </c>
    </row>
    <row r="184" spans="1:9" ht="16" hidden="1" thickBot="1" x14ac:dyDescent="0.25">
      <c r="A184" s="402" t="s">
        <v>443</v>
      </c>
      <c r="B184" s="403"/>
      <c r="C184" s="14" t="s">
        <v>72</v>
      </c>
      <c r="D184" s="14" t="s">
        <v>72</v>
      </c>
      <c r="E184" s="14" t="s">
        <v>72</v>
      </c>
      <c r="F184" s="14" t="s">
        <v>72</v>
      </c>
      <c r="G184" s="14" t="s">
        <v>72</v>
      </c>
      <c r="H184" s="14" t="s">
        <v>72</v>
      </c>
      <c r="I184" s="14" t="s">
        <v>72</v>
      </c>
    </row>
    <row r="185" spans="1:9" ht="16" hidden="1" thickBot="1" x14ac:dyDescent="0.25">
      <c r="A185" s="402" t="s">
        <v>444</v>
      </c>
      <c r="B185" s="403"/>
      <c r="C185" s="14" t="s">
        <v>72</v>
      </c>
      <c r="D185" s="14" t="s">
        <v>72</v>
      </c>
      <c r="E185" s="14" t="s">
        <v>72</v>
      </c>
      <c r="F185" s="14" t="s">
        <v>72</v>
      </c>
      <c r="G185" s="14" t="s">
        <v>72</v>
      </c>
      <c r="H185" s="14" t="s">
        <v>72</v>
      </c>
      <c r="I185" s="14" t="s">
        <v>72</v>
      </c>
    </row>
    <row r="186" spans="1:9" ht="16" hidden="1" thickBot="1" x14ac:dyDescent="0.25">
      <c r="A186" s="402" t="s">
        <v>445</v>
      </c>
      <c r="B186" s="403"/>
      <c r="C186" s="14" t="s">
        <v>72</v>
      </c>
      <c r="D186" s="14" t="s">
        <v>72</v>
      </c>
      <c r="E186" s="14" t="s">
        <v>72</v>
      </c>
      <c r="F186" s="14" t="s">
        <v>72</v>
      </c>
      <c r="G186" s="14" t="s">
        <v>72</v>
      </c>
      <c r="H186" s="14" t="s">
        <v>72</v>
      </c>
      <c r="I186" s="14" t="s">
        <v>72</v>
      </c>
    </row>
    <row r="187" spans="1:9" ht="16" hidden="1" thickBot="1" x14ac:dyDescent="0.25">
      <c r="A187" s="402" t="s">
        <v>446</v>
      </c>
      <c r="B187" s="403"/>
      <c r="C187" s="14" t="s">
        <v>72</v>
      </c>
      <c r="D187" s="14" t="s">
        <v>72</v>
      </c>
      <c r="E187" s="14" t="s">
        <v>72</v>
      </c>
      <c r="F187" s="14" t="s">
        <v>72</v>
      </c>
      <c r="G187" s="14" t="s">
        <v>72</v>
      </c>
      <c r="H187" s="14" t="s">
        <v>72</v>
      </c>
      <c r="I187" s="14" t="s">
        <v>72</v>
      </c>
    </row>
    <row r="188" spans="1:9" ht="16" hidden="1" thickBot="1" x14ac:dyDescent="0.25">
      <c r="A188" s="402" t="s">
        <v>447</v>
      </c>
      <c r="B188" s="403"/>
      <c r="C188" s="14" t="s">
        <v>72</v>
      </c>
      <c r="D188" s="14" t="s">
        <v>72</v>
      </c>
      <c r="E188" s="14" t="s">
        <v>72</v>
      </c>
      <c r="F188" s="14" t="s">
        <v>72</v>
      </c>
      <c r="G188" s="14" t="s">
        <v>72</v>
      </c>
      <c r="H188" s="14" t="s">
        <v>72</v>
      </c>
      <c r="I188" s="14" t="s">
        <v>72</v>
      </c>
    </row>
    <row r="189" spans="1:9" ht="16" hidden="1" thickBot="1" x14ac:dyDescent="0.25">
      <c r="A189" s="402" t="s">
        <v>448</v>
      </c>
      <c r="B189" s="403"/>
      <c r="C189" s="14" t="s">
        <v>72</v>
      </c>
      <c r="D189" s="14" t="s">
        <v>72</v>
      </c>
      <c r="E189" s="14" t="s">
        <v>72</v>
      </c>
      <c r="F189" s="14" t="s">
        <v>72</v>
      </c>
      <c r="G189" s="14" t="s">
        <v>72</v>
      </c>
      <c r="H189" s="14" t="s">
        <v>72</v>
      </c>
      <c r="I189" s="14" t="s">
        <v>72</v>
      </c>
    </row>
    <row r="190" spans="1:9" ht="16" hidden="1" thickBot="1" x14ac:dyDescent="0.25">
      <c r="A190" s="402" t="s">
        <v>288</v>
      </c>
      <c r="B190" s="403"/>
      <c r="C190" s="14" t="s">
        <v>72</v>
      </c>
      <c r="D190" s="14" t="s">
        <v>72</v>
      </c>
      <c r="E190" s="14" t="s">
        <v>72</v>
      </c>
      <c r="F190" s="14" t="s">
        <v>72</v>
      </c>
      <c r="G190" s="14" t="s">
        <v>72</v>
      </c>
      <c r="H190" s="14" t="s">
        <v>72</v>
      </c>
      <c r="I190" s="14" t="s">
        <v>72</v>
      </c>
    </row>
    <row r="191" spans="1:9" ht="16" hidden="1" thickBot="1" x14ac:dyDescent="0.25">
      <c r="A191" s="402" t="s">
        <v>449</v>
      </c>
      <c r="B191" s="403"/>
      <c r="C191" s="14">
        <v>247069</v>
      </c>
      <c r="D191" s="14">
        <v>380332</v>
      </c>
      <c r="E191" s="14">
        <v>479606</v>
      </c>
      <c r="F191" s="14">
        <v>356525</v>
      </c>
      <c r="G191" s="14">
        <v>90420</v>
      </c>
      <c r="H191" s="14">
        <v>510571</v>
      </c>
      <c r="I191" s="14">
        <v>575940</v>
      </c>
    </row>
    <row r="192" spans="1:9" hidden="1" x14ac:dyDescent="0.2">
      <c r="A192" s="404" t="s">
        <v>450</v>
      </c>
      <c r="B192" s="405"/>
      <c r="C192" s="14">
        <v>248774</v>
      </c>
      <c r="D192" s="14">
        <v>381416</v>
      </c>
      <c r="E192" s="14">
        <v>480387</v>
      </c>
      <c r="F192" s="14">
        <v>357361</v>
      </c>
      <c r="G192" s="14">
        <v>91792</v>
      </c>
      <c r="H192" s="14">
        <v>514382</v>
      </c>
      <c r="I192" s="14">
        <v>691226</v>
      </c>
    </row>
    <row r="193" spans="1:9" ht="12" hidden="1" customHeight="1" thickBot="1" x14ac:dyDescent="0.25">
      <c r="A193" s="406" t="s">
        <v>451</v>
      </c>
      <c r="B193" s="406"/>
      <c r="C193" s="12"/>
      <c r="D193" s="12"/>
      <c r="E193" s="12"/>
      <c r="F193" s="12"/>
      <c r="G193" s="12"/>
      <c r="H193" s="12"/>
      <c r="I193" s="12"/>
    </row>
    <row r="194" spans="1:9" ht="16" hidden="1" thickBot="1" x14ac:dyDescent="0.25">
      <c r="A194" s="407" t="s">
        <v>452</v>
      </c>
      <c r="B194" s="408"/>
      <c r="C194" s="16">
        <v>51877</v>
      </c>
      <c r="D194" s="16">
        <v>73196</v>
      </c>
      <c r="E194" s="16">
        <v>87028</v>
      </c>
      <c r="F194" s="16">
        <v>67876</v>
      </c>
      <c r="G194" s="16">
        <v>27475</v>
      </c>
      <c r="H194" s="16">
        <v>108125</v>
      </c>
      <c r="I194" s="16">
        <v>86687</v>
      </c>
    </row>
    <row r="195" spans="1:9" ht="16" hidden="1" thickBot="1" x14ac:dyDescent="0.25">
      <c r="A195" s="409" t="s">
        <v>452</v>
      </c>
      <c r="B195" s="410"/>
      <c r="C195" s="18">
        <v>51877</v>
      </c>
      <c r="D195" s="18">
        <v>73196</v>
      </c>
      <c r="E195" s="18">
        <v>87028</v>
      </c>
      <c r="F195" s="18">
        <v>67876</v>
      </c>
      <c r="G195" s="18">
        <v>27475</v>
      </c>
      <c r="H195" s="18">
        <v>108125</v>
      </c>
      <c r="I195" s="18">
        <v>86687</v>
      </c>
    </row>
    <row r="196" spans="1:9" ht="16" hidden="1" thickBot="1" x14ac:dyDescent="0.25">
      <c r="A196" s="407" t="s">
        <v>453</v>
      </c>
      <c r="B196" s="408"/>
      <c r="C196" s="16" t="s">
        <v>72</v>
      </c>
      <c r="D196" s="16" t="s">
        <v>72</v>
      </c>
      <c r="E196" s="16" t="s">
        <v>72</v>
      </c>
      <c r="F196" s="16">
        <v>6279</v>
      </c>
      <c r="G196" s="16">
        <v>-9264</v>
      </c>
      <c r="H196" s="16">
        <v>2116</v>
      </c>
      <c r="I196" s="16">
        <v>863</v>
      </c>
    </row>
    <row r="197" spans="1:9" ht="16" hidden="1" thickBot="1" x14ac:dyDescent="0.25">
      <c r="A197" s="409" t="s">
        <v>453</v>
      </c>
      <c r="B197" s="410"/>
      <c r="C197" s="18" t="s">
        <v>72</v>
      </c>
      <c r="D197" s="18" t="s">
        <v>72</v>
      </c>
      <c r="E197" s="18" t="s">
        <v>72</v>
      </c>
      <c r="F197" s="18">
        <v>6279</v>
      </c>
      <c r="G197" s="18">
        <v>-9264</v>
      </c>
      <c r="H197" s="18">
        <v>2116</v>
      </c>
      <c r="I197" s="18">
        <v>863</v>
      </c>
    </row>
    <row r="198" spans="1:9" ht="16" hidden="1" thickBot="1" x14ac:dyDescent="0.25">
      <c r="A198" s="402" t="s">
        <v>454</v>
      </c>
      <c r="B198" s="403"/>
      <c r="C198" s="14">
        <v>51877</v>
      </c>
      <c r="D198" s="14">
        <v>73196</v>
      </c>
      <c r="E198" s="14">
        <v>87028</v>
      </c>
      <c r="F198" s="14">
        <v>74155</v>
      </c>
      <c r="G198" s="14">
        <v>18211</v>
      </c>
      <c r="H198" s="14">
        <v>110242</v>
      </c>
      <c r="I198" s="14">
        <v>87549</v>
      </c>
    </row>
    <row r="199" spans="1:9" ht="16" hidden="1" thickBot="1" x14ac:dyDescent="0.25">
      <c r="A199" s="402" t="s">
        <v>455</v>
      </c>
      <c r="B199" s="403"/>
      <c r="C199" s="14" t="s">
        <v>72</v>
      </c>
      <c r="D199" s="14" t="s">
        <v>72</v>
      </c>
      <c r="E199" s="14" t="s">
        <v>72</v>
      </c>
      <c r="F199" s="14" t="s">
        <v>72</v>
      </c>
      <c r="G199" s="14" t="s">
        <v>72</v>
      </c>
      <c r="H199" s="14" t="s">
        <v>72</v>
      </c>
      <c r="I199" s="14" t="s">
        <v>72</v>
      </c>
    </row>
    <row r="200" spans="1:9" ht="16" hidden="1" thickBot="1" x14ac:dyDescent="0.25">
      <c r="A200" s="402" t="s">
        <v>456</v>
      </c>
      <c r="B200" s="403"/>
      <c r="C200" s="14" t="s">
        <v>72</v>
      </c>
      <c r="D200" s="14" t="s">
        <v>72</v>
      </c>
      <c r="E200" s="14" t="s">
        <v>72</v>
      </c>
      <c r="F200" s="14" t="s">
        <v>72</v>
      </c>
      <c r="G200" s="14" t="s">
        <v>72</v>
      </c>
      <c r="H200" s="14" t="s">
        <v>72</v>
      </c>
      <c r="I200" s="14" t="s">
        <v>72</v>
      </c>
    </row>
    <row r="201" spans="1:9" ht="16" hidden="1" thickBot="1" x14ac:dyDescent="0.25">
      <c r="A201" s="402" t="s">
        <v>457</v>
      </c>
      <c r="B201" s="403"/>
      <c r="C201" s="14" t="s">
        <v>72</v>
      </c>
      <c r="D201" s="14" t="s">
        <v>72</v>
      </c>
      <c r="E201" s="14" t="s">
        <v>72</v>
      </c>
      <c r="F201" s="14" t="s">
        <v>72</v>
      </c>
      <c r="G201" s="14" t="s">
        <v>72</v>
      </c>
      <c r="H201" s="14" t="s">
        <v>72</v>
      </c>
      <c r="I201" s="14" t="s">
        <v>72</v>
      </c>
    </row>
    <row r="202" spans="1:9" ht="16" hidden="1" thickBot="1" x14ac:dyDescent="0.25">
      <c r="A202" s="402" t="s">
        <v>458</v>
      </c>
      <c r="B202" s="403"/>
      <c r="C202" s="14" t="s">
        <v>72</v>
      </c>
      <c r="D202" s="14" t="s">
        <v>72</v>
      </c>
      <c r="E202" s="14" t="s">
        <v>72</v>
      </c>
      <c r="F202" s="14" t="s">
        <v>72</v>
      </c>
      <c r="G202" s="14" t="s">
        <v>72</v>
      </c>
      <c r="H202" s="14" t="s">
        <v>72</v>
      </c>
      <c r="I202" s="14" t="s">
        <v>72</v>
      </c>
    </row>
    <row r="203" spans="1:9" ht="16" hidden="1" thickBot="1" x14ac:dyDescent="0.25">
      <c r="A203" s="402" t="s">
        <v>459</v>
      </c>
      <c r="B203" s="403"/>
      <c r="C203" s="14" t="s">
        <v>72</v>
      </c>
      <c r="D203" s="14" t="s">
        <v>72</v>
      </c>
      <c r="E203" s="14" t="s">
        <v>72</v>
      </c>
      <c r="F203" s="14" t="s">
        <v>72</v>
      </c>
      <c r="G203" s="14" t="s">
        <v>72</v>
      </c>
      <c r="H203" s="14" t="s">
        <v>72</v>
      </c>
      <c r="I203" s="14" t="s">
        <v>72</v>
      </c>
    </row>
    <row r="204" spans="1:9" ht="16" hidden="1" thickBot="1" x14ac:dyDescent="0.25">
      <c r="A204" s="402" t="s">
        <v>460</v>
      </c>
      <c r="B204" s="403"/>
      <c r="C204" s="14" t="s">
        <v>72</v>
      </c>
      <c r="D204" s="14" t="s">
        <v>72</v>
      </c>
      <c r="E204" s="14" t="s">
        <v>72</v>
      </c>
      <c r="F204" s="14" t="s">
        <v>72</v>
      </c>
      <c r="G204" s="14" t="s">
        <v>72</v>
      </c>
      <c r="H204" s="14" t="s">
        <v>72</v>
      </c>
      <c r="I204" s="14" t="s">
        <v>72</v>
      </c>
    </row>
    <row r="205" spans="1:9" ht="16" hidden="1" thickBot="1" x14ac:dyDescent="0.25">
      <c r="A205" s="402" t="s">
        <v>461</v>
      </c>
      <c r="B205" s="403"/>
      <c r="C205" s="14" t="s">
        <v>72</v>
      </c>
      <c r="D205" s="14" t="s">
        <v>72</v>
      </c>
      <c r="E205" s="14" t="s">
        <v>72</v>
      </c>
      <c r="F205" s="14" t="s">
        <v>72</v>
      </c>
      <c r="G205" s="14" t="s">
        <v>72</v>
      </c>
      <c r="H205" s="14" t="s">
        <v>72</v>
      </c>
      <c r="I205" s="14" t="s">
        <v>72</v>
      </c>
    </row>
    <row r="206" spans="1:9" ht="16" hidden="1" thickBot="1" x14ac:dyDescent="0.25">
      <c r="A206" s="402" t="s">
        <v>462</v>
      </c>
      <c r="B206" s="403"/>
      <c r="C206" s="14" t="s">
        <v>72</v>
      </c>
      <c r="D206" s="14" t="s">
        <v>72</v>
      </c>
      <c r="E206" s="14" t="s">
        <v>72</v>
      </c>
      <c r="F206" s="14" t="s">
        <v>72</v>
      </c>
      <c r="G206" s="14" t="s">
        <v>72</v>
      </c>
      <c r="H206" s="14" t="s">
        <v>72</v>
      </c>
      <c r="I206" s="14" t="s">
        <v>72</v>
      </c>
    </row>
    <row r="207" spans="1:9" ht="16" hidden="1" thickBot="1" x14ac:dyDescent="0.25">
      <c r="A207" s="402" t="s">
        <v>463</v>
      </c>
      <c r="B207" s="403"/>
      <c r="C207" s="14" t="s">
        <v>72</v>
      </c>
      <c r="D207" s="14" t="s">
        <v>72</v>
      </c>
      <c r="E207" s="14" t="s">
        <v>72</v>
      </c>
      <c r="F207" s="14" t="s">
        <v>72</v>
      </c>
      <c r="G207" s="14" t="s">
        <v>72</v>
      </c>
      <c r="H207" s="14" t="s">
        <v>72</v>
      </c>
      <c r="I207" s="14" t="s">
        <v>72</v>
      </c>
    </row>
    <row r="208" spans="1:9" hidden="1" x14ac:dyDescent="0.2">
      <c r="A208" s="404" t="s">
        <v>464</v>
      </c>
      <c r="B208" s="405"/>
      <c r="C208" s="14" t="s">
        <v>72</v>
      </c>
      <c r="D208" s="14" t="s">
        <v>72</v>
      </c>
      <c r="E208" s="14" t="s">
        <v>72</v>
      </c>
      <c r="F208" s="14" t="s">
        <v>72</v>
      </c>
      <c r="G208" s="14" t="s">
        <v>72</v>
      </c>
      <c r="H208" s="14" t="s">
        <v>72</v>
      </c>
      <c r="I208" s="14" t="s">
        <v>72</v>
      </c>
    </row>
    <row r="209" spans="1:9" ht="16" hidden="1" thickBot="1" x14ac:dyDescent="0.25">
      <c r="A209" s="391" t="s">
        <v>465</v>
      </c>
      <c r="B209" s="391"/>
      <c r="C209" s="23"/>
      <c r="D209" s="23"/>
      <c r="E209" s="23"/>
      <c r="F209" s="23"/>
      <c r="G209" s="23"/>
      <c r="H209" s="23"/>
      <c r="I209" s="23"/>
    </row>
    <row r="210" spans="1:9" ht="16" hidden="1" thickBot="1" x14ac:dyDescent="0.25">
      <c r="A210" s="392" t="s">
        <v>466</v>
      </c>
      <c r="B210" s="393"/>
      <c r="C210" s="24"/>
      <c r="D210" s="24"/>
      <c r="E210" s="24"/>
      <c r="F210" s="24"/>
      <c r="G210" s="24"/>
      <c r="H210" s="24"/>
      <c r="I210" s="24"/>
    </row>
    <row r="211" spans="1:9" hidden="1" x14ac:dyDescent="0.2">
      <c r="A211" s="394" t="s">
        <v>467</v>
      </c>
      <c r="B211" s="395"/>
      <c r="C211" s="398" t="s">
        <v>72</v>
      </c>
      <c r="D211" s="389" t="s">
        <v>72</v>
      </c>
      <c r="E211" s="18" t="s">
        <v>468</v>
      </c>
      <c r="F211" s="18" t="s">
        <v>469</v>
      </c>
      <c r="G211" s="18" t="s">
        <v>470</v>
      </c>
      <c r="H211" s="18" t="s">
        <v>471</v>
      </c>
      <c r="I211" s="18" t="s">
        <v>471</v>
      </c>
    </row>
    <row r="212" spans="1:9" ht="16" hidden="1" thickBot="1" x14ac:dyDescent="0.25">
      <c r="A212" s="400"/>
      <c r="B212" s="401"/>
      <c r="C212" s="399"/>
      <c r="D212" s="390"/>
      <c r="E212" s="26" t="s">
        <v>472</v>
      </c>
      <c r="F212" s="26" t="s">
        <v>472</v>
      </c>
      <c r="G212" s="26" t="s">
        <v>472</v>
      </c>
      <c r="H212" s="26" t="s">
        <v>472</v>
      </c>
      <c r="I212" s="26" t="s">
        <v>472</v>
      </c>
    </row>
    <row r="213" spans="1:9" hidden="1" x14ac:dyDescent="0.2">
      <c r="A213" s="394" t="s">
        <v>473</v>
      </c>
      <c r="B213" s="395"/>
      <c r="C213" s="398" t="s">
        <v>72</v>
      </c>
      <c r="D213" s="389" t="s">
        <v>72</v>
      </c>
      <c r="E213" s="18" t="s">
        <v>474</v>
      </c>
      <c r="F213" s="389" t="s">
        <v>72</v>
      </c>
      <c r="G213" s="389" t="s">
        <v>72</v>
      </c>
      <c r="H213" s="18" t="s">
        <v>475</v>
      </c>
      <c r="I213" s="18" t="s">
        <v>474</v>
      </c>
    </row>
    <row r="214" spans="1:9" ht="16" hidden="1" thickBot="1" x14ac:dyDescent="0.25">
      <c r="A214" s="400"/>
      <c r="B214" s="401"/>
      <c r="C214" s="399"/>
      <c r="D214" s="390"/>
      <c r="E214" s="26" t="s">
        <v>472</v>
      </c>
      <c r="F214" s="390"/>
      <c r="G214" s="390"/>
      <c r="H214" s="26" t="s">
        <v>472</v>
      </c>
      <c r="I214" s="26" t="s">
        <v>472</v>
      </c>
    </row>
    <row r="215" spans="1:9" hidden="1" x14ac:dyDescent="0.2">
      <c r="A215" s="394" t="s">
        <v>476</v>
      </c>
      <c r="B215" s="395"/>
      <c r="C215" s="398" t="s">
        <v>72</v>
      </c>
      <c r="D215" s="389" t="s">
        <v>72</v>
      </c>
      <c r="E215" s="389" t="s">
        <v>72</v>
      </c>
      <c r="F215" s="18" t="s">
        <v>477</v>
      </c>
      <c r="G215" s="18" t="s">
        <v>478</v>
      </c>
      <c r="H215" s="18" t="s">
        <v>479</v>
      </c>
      <c r="I215" s="18" t="s">
        <v>479</v>
      </c>
    </row>
    <row r="216" spans="1:9" ht="16" hidden="1" thickBot="1" x14ac:dyDescent="0.25">
      <c r="A216" s="400"/>
      <c r="B216" s="401"/>
      <c r="C216" s="399"/>
      <c r="D216" s="390"/>
      <c r="E216" s="390"/>
      <c r="F216" s="26" t="s">
        <v>480</v>
      </c>
      <c r="G216" s="26" t="s">
        <v>481</v>
      </c>
      <c r="H216" s="26" t="s">
        <v>482</v>
      </c>
      <c r="I216" s="26" t="s">
        <v>483</v>
      </c>
    </row>
    <row r="217" spans="1:9" hidden="1" x14ac:dyDescent="0.2">
      <c r="A217" s="394" t="s">
        <v>473</v>
      </c>
      <c r="B217" s="395"/>
      <c r="C217" s="398" t="s">
        <v>72</v>
      </c>
      <c r="D217" s="389" t="s">
        <v>72</v>
      </c>
      <c r="E217" s="389" t="s">
        <v>72</v>
      </c>
      <c r="F217" s="18">
        <v>4.177083333333333</v>
      </c>
      <c r="G217" s="389" t="s">
        <v>72</v>
      </c>
      <c r="H217" s="389" t="s">
        <v>72</v>
      </c>
      <c r="I217" s="18">
        <v>8.4027777777777771E-2</v>
      </c>
    </row>
    <row r="218" spans="1:9" ht="16" hidden="1" thickBot="1" x14ac:dyDescent="0.25">
      <c r="A218" s="400"/>
      <c r="B218" s="401"/>
      <c r="C218" s="399"/>
      <c r="D218" s="390"/>
      <c r="E218" s="390"/>
      <c r="F218" s="26" t="s">
        <v>484</v>
      </c>
      <c r="G218" s="390"/>
      <c r="H218" s="390"/>
      <c r="I218" s="26" t="s">
        <v>485</v>
      </c>
    </row>
    <row r="219" spans="1:9" hidden="1" x14ac:dyDescent="0.2">
      <c r="A219" s="394" t="s">
        <v>486</v>
      </c>
      <c r="B219" s="395"/>
      <c r="C219" s="398" t="s">
        <v>72</v>
      </c>
      <c r="D219" s="389" t="s">
        <v>72</v>
      </c>
      <c r="E219" s="18">
        <v>0.42152777777777778</v>
      </c>
      <c r="F219" s="389" t="s">
        <v>72</v>
      </c>
      <c r="G219" s="389" t="s">
        <v>72</v>
      </c>
      <c r="H219" s="389" t="s">
        <v>72</v>
      </c>
      <c r="I219" s="389" t="s">
        <v>72</v>
      </c>
    </row>
    <row r="220" spans="1:9" hidden="1" x14ac:dyDescent="0.2">
      <c r="A220" s="396"/>
      <c r="B220" s="397"/>
      <c r="C220" s="399"/>
      <c r="D220" s="390"/>
      <c r="E220" s="26" t="s">
        <v>487</v>
      </c>
      <c r="F220" s="390"/>
      <c r="G220" s="390"/>
      <c r="H220" s="390"/>
      <c r="I220" s="390"/>
    </row>
    <row r="221" spans="1:9" ht="16" hidden="1" thickBot="1" x14ac:dyDescent="0.25">
      <c r="A221" s="391" t="s">
        <v>488</v>
      </c>
      <c r="B221" s="391"/>
      <c r="C221" s="27"/>
    </row>
    <row r="222" spans="1:9" ht="16" hidden="1" thickBot="1" x14ac:dyDescent="0.25">
      <c r="A222" s="392" t="s">
        <v>466</v>
      </c>
      <c r="B222" s="393"/>
      <c r="C222" s="24"/>
    </row>
    <row r="223" spans="1:9" ht="16" hidden="1" thickBot="1" x14ac:dyDescent="0.25">
      <c r="A223" s="28">
        <v>2023</v>
      </c>
      <c r="B223" s="25" t="s">
        <v>476</v>
      </c>
      <c r="C223" s="18" t="s">
        <v>489</v>
      </c>
    </row>
    <row r="224" spans="1:9" ht="16" hidden="1" thickBot="1" x14ac:dyDescent="0.25">
      <c r="A224" s="28"/>
      <c r="B224" s="25"/>
      <c r="C224" s="26" t="s">
        <v>480</v>
      </c>
    </row>
    <row r="225" spans="1:3" ht="16" hidden="1" thickBot="1" x14ac:dyDescent="0.25">
      <c r="A225" s="28"/>
      <c r="B225" s="25" t="s">
        <v>473</v>
      </c>
      <c r="C225" s="18" t="s">
        <v>490</v>
      </c>
    </row>
    <row r="226" spans="1:3" hidden="1" x14ac:dyDescent="0.2">
      <c r="A226" s="28"/>
      <c r="B226" s="25"/>
      <c r="C226" s="26" t="s">
        <v>491</v>
      </c>
    </row>
    <row r="227" spans="1:3" hidden="1" x14ac:dyDescent="0.2"/>
  </sheetData>
  <mergeCells count="211">
    <mergeCell ref="A1:B1"/>
    <mergeCell ref="A2:B2"/>
    <mergeCell ref="A3:B3"/>
    <mergeCell ref="A4:B4"/>
    <mergeCell ref="A5:B5"/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42:B42"/>
    <mergeCell ref="A43:B43"/>
    <mergeCell ref="A44:B44"/>
    <mergeCell ref="A46:B46"/>
    <mergeCell ref="A47:B47"/>
    <mergeCell ref="A48:B48"/>
    <mergeCell ref="A24:B24"/>
    <mergeCell ref="A27:B27"/>
    <mergeCell ref="A28:B28"/>
    <mergeCell ref="A34:B34"/>
    <mergeCell ref="A40:B40"/>
    <mergeCell ref="A41:B41"/>
    <mergeCell ref="A55:B55"/>
    <mergeCell ref="A56:B56"/>
    <mergeCell ref="A58:B58"/>
    <mergeCell ref="A62:B62"/>
    <mergeCell ref="A63:B63"/>
    <mergeCell ref="A64:B64"/>
    <mergeCell ref="A49:B49"/>
    <mergeCell ref="A50:B50"/>
    <mergeCell ref="A51:B51"/>
    <mergeCell ref="A52:B52"/>
    <mergeCell ref="A53:B53"/>
    <mergeCell ref="A54:B54"/>
    <mergeCell ref="A73:B73"/>
    <mergeCell ref="A74:B74"/>
    <mergeCell ref="A75:B75"/>
    <mergeCell ref="A76:B76"/>
    <mergeCell ref="A77:B77"/>
    <mergeCell ref="A78:B78"/>
    <mergeCell ref="A65:B65"/>
    <mergeCell ref="A66:B66"/>
    <mergeCell ref="A67:B67"/>
    <mergeCell ref="A68:B68"/>
    <mergeCell ref="A69:B69"/>
    <mergeCell ref="A72:B72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40:B140"/>
    <mergeCell ref="A141:B141"/>
    <mergeCell ref="A142:B142"/>
    <mergeCell ref="A143:B143"/>
    <mergeCell ref="A144:B144"/>
    <mergeCell ref="A145:B145"/>
    <mergeCell ref="A133:B133"/>
    <mergeCell ref="A134:B134"/>
    <mergeCell ref="A135:B135"/>
    <mergeCell ref="A137:B137"/>
    <mergeCell ref="A138:B138"/>
    <mergeCell ref="A139:B139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G217:G218"/>
    <mergeCell ref="C211:C212"/>
    <mergeCell ref="D211:D212"/>
    <mergeCell ref="A213:B214"/>
    <mergeCell ref="C213:C214"/>
    <mergeCell ref="D213:D214"/>
    <mergeCell ref="F213:F214"/>
    <mergeCell ref="A206:B206"/>
    <mergeCell ref="A207:B207"/>
    <mergeCell ref="A208:B208"/>
    <mergeCell ref="A209:B209"/>
    <mergeCell ref="A210:B210"/>
    <mergeCell ref="A211:B212"/>
    <mergeCell ref="A20:B20"/>
    <mergeCell ref="A19:B19"/>
    <mergeCell ref="I219:I220"/>
    <mergeCell ref="A221:B221"/>
    <mergeCell ref="A222:B222"/>
    <mergeCell ref="A23:B23"/>
    <mergeCell ref="A22:B22"/>
    <mergeCell ref="A21:B21"/>
    <mergeCell ref="H217:H218"/>
    <mergeCell ref="A219:B220"/>
    <mergeCell ref="C219:C220"/>
    <mergeCell ref="D219:D220"/>
    <mergeCell ref="F219:F220"/>
    <mergeCell ref="G219:G220"/>
    <mergeCell ref="H219:H220"/>
    <mergeCell ref="G213:G214"/>
    <mergeCell ref="A215:B216"/>
    <mergeCell ref="C215:C216"/>
    <mergeCell ref="D215:D216"/>
    <mergeCell ref="E215:E216"/>
    <mergeCell ref="A217:B218"/>
    <mergeCell ref="C217:C218"/>
    <mergeCell ref="D217:D218"/>
    <mergeCell ref="E217:E2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0B24-37B4-CD41-8BFD-B2F331291A55}">
  <dimension ref="A1:O231"/>
  <sheetViews>
    <sheetView workbookViewId="0">
      <selection activeCell="A89" sqref="A89"/>
    </sheetView>
  </sheetViews>
  <sheetFormatPr baseColWidth="10" defaultColWidth="8.83203125" defaultRowHeight="15" x14ac:dyDescent="0.2"/>
  <cols>
    <col min="1" max="1" width="19" customWidth="1"/>
    <col min="2" max="3" width="28.5" hidden="1" customWidth="1"/>
    <col min="4" max="14" width="14.6640625" customWidth="1"/>
  </cols>
  <sheetData>
    <row r="1" spans="1:14" s="379" customFormat="1" ht="26" x14ac:dyDescent="0.3">
      <c r="A1" s="430" t="s">
        <v>124</v>
      </c>
      <c r="B1" s="430"/>
      <c r="C1" s="351">
        <v>2016</v>
      </c>
      <c r="D1" s="352">
        <v>2018</v>
      </c>
      <c r="E1" s="352">
        <v>2019</v>
      </c>
      <c r="F1" s="352">
        <v>2020</v>
      </c>
      <c r="G1" s="352">
        <v>2021</v>
      </c>
      <c r="H1" s="352">
        <v>2022</v>
      </c>
      <c r="I1" s="353" t="s">
        <v>579</v>
      </c>
      <c r="J1" s="353" t="s">
        <v>580</v>
      </c>
      <c r="K1" s="353" t="s">
        <v>581</v>
      </c>
      <c r="L1" s="353" t="s">
        <v>582</v>
      </c>
      <c r="M1" s="353" t="s">
        <v>583</v>
      </c>
      <c r="N1" s="353" t="s">
        <v>584</v>
      </c>
    </row>
    <row r="2" spans="1:14" hidden="1" x14ac:dyDescent="0.2">
      <c r="A2" s="356"/>
      <c r="B2" s="354">
        <v>2016</v>
      </c>
      <c r="C2" s="354">
        <v>2017</v>
      </c>
      <c r="D2" s="354">
        <v>2018</v>
      </c>
      <c r="E2" s="354">
        <v>2019</v>
      </c>
      <c r="F2" s="354">
        <v>2020</v>
      </c>
      <c r="G2" s="354">
        <v>2021</v>
      </c>
      <c r="H2" s="354">
        <v>2022</v>
      </c>
      <c r="I2" s="354" t="s">
        <v>579</v>
      </c>
      <c r="J2" s="354" t="s">
        <v>580</v>
      </c>
      <c r="K2" s="354" t="s">
        <v>581</v>
      </c>
      <c r="L2" s="354" t="s">
        <v>582</v>
      </c>
      <c r="M2" s="354" t="s">
        <v>583</v>
      </c>
      <c r="N2" s="354" t="s">
        <v>584</v>
      </c>
    </row>
    <row r="3" spans="1:14" hidden="1" x14ac:dyDescent="0.2">
      <c r="A3" s="354" t="s">
        <v>11</v>
      </c>
      <c r="B3" s="355" t="s">
        <v>12</v>
      </c>
      <c r="C3" s="355" t="s">
        <v>13</v>
      </c>
      <c r="D3" s="355" t="s">
        <v>14</v>
      </c>
      <c r="E3" s="355" t="s">
        <v>15</v>
      </c>
      <c r="F3" s="355" t="s">
        <v>16</v>
      </c>
      <c r="G3" s="355" t="s">
        <v>17</v>
      </c>
      <c r="H3" s="355" t="s">
        <v>18</v>
      </c>
      <c r="I3" s="355" t="s">
        <v>14</v>
      </c>
      <c r="J3" s="355" t="s">
        <v>15</v>
      </c>
      <c r="K3" s="355" t="s">
        <v>15</v>
      </c>
      <c r="L3" s="355" t="s">
        <v>16</v>
      </c>
      <c r="M3" s="355" t="s">
        <v>17</v>
      </c>
      <c r="N3" s="355" t="s">
        <v>18</v>
      </c>
    </row>
    <row r="4" spans="1:14" hidden="1" x14ac:dyDescent="0.2">
      <c r="A4" s="354" t="s">
        <v>21</v>
      </c>
      <c r="B4" s="355" t="s">
        <v>22</v>
      </c>
      <c r="C4" s="355" t="s">
        <v>22</v>
      </c>
      <c r="D4" s="355" t="s">
        <v>22</v>
      </c>
      <c r="E4" s="355" t="s">
        <v>22</v>
      </c>
      <c r="F4" s="355" t="s">
        <v>22</v>
      </c>
      <c r="G4" s="355" t="s">
        <v>22</v>
      </c>
      <c r="H4" s="355" t="s">
        <v>22</v>
      </c>
      <c r="I4" s="355" t="s">
        <v>22</v>
      </c>
      <c r="J4" s="355" t="s">
        <v>22</v>
      </c>
      <c r="K4" s="355" t="s">
        <v>23</v>
      </c>
      <c r="L4" s="355" t="s">
        <v>22</v>
      </c>
      <c r="M4" s="355" t="s">
        <v>22</v>
      </c>
      <c r="N4" s="355" t="s">
        <v>22</v>
      </c>
    </row>
    <row r="5" spans="1:14" hidden="1" x14ac:dyDescent="0.2">
      <c r="A5" s="354" t="s">
        <v>24</v>
      </c>
      <c r="B5" s="355" t="s">
        <v>13</v>
      </c>
      <c r="C5" s="355" t="s">
        <v>13</v>
      </c>
      <c r="D5" s="355" t="s">
        <v>14</v>
      </c>
      <c r="E5" s="355" t="s">
        <v>15</v>
      </c>
      <c r="F5" s="355" t="s">
        <v>16</v>
      </c>
      <c r="G5" s="355" t="s">
        <v>17</v>
      </c>
      <c r="H5" s="355" t="s">
        <v>18</v>
      </c>
      <c r="I5" s="355" t="s">
        <v>14</v>
      </c>
      <c r="J5" s="355" t="s">
        <v>15</v>
      </c>
      <c r="K5" s="355" t="s">
        <v>16</v>
      </c>
      <c r="L5" s="355" t="s">
        <v>16</v>
      </c>
      <c r="M5" s="355" t="s">
        <v>17</v>
      </c>
      <c r="N5" s="355" t="s">
        <v>18</v>
      </c>
    </row>
    <row r="6" spans="1:14" hidden="1" x14ac:dyDescent="0.2">
      <c r="A6" s="354" t="s">
        <v>25</v>
      </c>
      <c r="B6" s="355" t="s">
        <v>26</v>
      </c>
      <c r="C6" s="355" t="s">
        <v>26</v>
      </c>
      <c r="D6" s="355" t="s">
        <v>26</v>
      </c>
      <c r="E6" s="355" t="s">
        <v>26</v>
      </c>
      <c r="F6" s="355" t="s">
        <v>26</v>
      </c>
      <c r="G6" s="355" t="s">
        <v>26</v>
      </c>
      <c r="H6" s="355" t="s">
        <v>26</v>
      </c>
      <c r="I6" s="355" t="s">
        <v>26</v>
      </c>
      <c r="J6" s="355" t="s">
        <v>26</v>
      </c>
      <c r="K6" s="355" t="s">
        <v>26</v>
      </c>
      <c r="L6" s="355" t="s">
        <v>26</v>
      </c>
      <c r="M6" s="355" t="s">
        <v>26</v>
      </c>
      <c r="N6" s="355" t="s">
        <v>26</v>
      </c>
    </row>
    <row r="7" spans="1:14" hidden="1" x14ac:dyDescent="0.2">
      <c r="A7" s="354" t="s">
        <v>27</v>
      </c>
      <c r="B7" s="355" t="s">
        <v>31</v>
      </c>
      <c r="C7" s="355" t="s">
        <v>31</v>
      </c>
      <c r="D7" s="355" t="s">
        <v>31</v>
      </c>
      <c r="E7" s="355" t="s">
        <v>31</v>
      </c>
      <c r="F7" s="355" t="s">
        <v>31</v>
      </c>
      <c r="G7" s="355" t="s">
        <v>31</v>
      </c>
      <c r="H7" s="355" t="s">
        <v>32</v>
      </c>
      <c r="I7" s="355" t="s">
        <v>30</v>
      </c>
      <c r="J7" s="355" t="s">
        <v>31</v>
      </c>
      <c r="K7" s="355" t="s">
        <v>31</v>
      </c>
      <c r="L7" s="355" t="s">
        <v>31</v>
      </c>
      <c r="M7" s="355" t="s">
        <v>31</v>
      </c>
      <c r="N7" s="355" t="s">
        <v>32</v>
      </c>
    </row>
    <row r="8" spans="1:14" hidden="1" x14ac:dyDescent="0.2">
      <c r="A8" s="354" t="s">
        <v>33</v>
      </c>
      <c r="B8" s="355" t="s">
        <v>34</v>
      </c>
      <c r="C8" s="355" t="s">
        <v>34</v>
      </c>
      <c r="D8" s="355" t="s">
        <v>34</v>
      </c>
      <c r="E8" s="355" t="s">
        <v>34</v>
      </c>
      <c r="F8" s="355" t="s">
        <v>34</v>
      </c>
      <c r="G8" s="355" t="s">
        <v>34</v>
      </c>
      <c r="H8" s="355" t="s">
        <v>34</v>
      </c>
      <c r="I8" s="355" t="s">
        <v>34</v>
      </c>
      <c r="J8" s="355" t="s">
        <v>34</v>
      </c>
      <c r="K8" s="355" t="s">
        <v>34</v>
      </c>
      <c r="L8" s="355" t="s">
        <v>34</v>
      </c>
      <c r="M8" s="355" t="s">
        <v>34</v>
      </c>
      <c r="N8" s="355" t="s">
        <v>34</v>
      </c>
    </row>
    <row r="9" spans="1:14" hidden="1" x14ac:dyDescent="0.2">
      <c r="A9" s="354" t="s">
        <v>35</v>
      </c>
      <c r="B9" s="355" t="s">
        <v>36</v>
      </c>
      <c r="C9" s="355" t="s">
        <v>36</v>
      </c>
      <c r="D9" s="355" t="s">
        <v>36</v>
      </c>
      <c r="E9" s="355" t="s">
        <v>36</v>
      </c>
      <c r="F9" s="355" t="s">
        <v>36</v>
      </c>
      <c r="G9" s="355" t="s">
        <v>36</v>
      </c>
      <c r="H9" s="355" t="s">
        <v>36</v>
      </c>
      <c r="I9" s="355" t="s">
        <v>36</v>
      </c>
      <c r="J9" s="355" t="s">
        <v>36</v>
      </c>
      <c r="K9" s="355" t="s">
        <v>36</v>
      </c>
      <c r="L9" s="355" t="s">
        <v>36</v>
      </c>
      <c r="M9" s="355" t="s">
        <v>36</v>
      </c>
      <c r="N9" s="355" t="s">
        <v>36</v>
      </c>
    </row>
    <row r="10" spans="1:14" hidden="1" x14ac:dyDescent="0.2">
      <c r="A10" s="354" t="s">
        <v>37</v>
      </c>
      <c r="B10" s="355" t="s">
        <v>38</v>
      </c>
      <c r="C10" s="355" t="s">
        <v>38</v>
      </c>
      <c r="D10" s="355" t="s">
        <v>39</v>
      </c>
      <c r="E10" s="355" t="s">
        <v>40</v>
      </c>
      <c r="F10" s="355" t="s">
        <v>41</v>
      </c>
      <c r="G10" s="355" t="s">
        <v>42</v>
      </c>
      <c r="H10" s="355" t="s">
        <v>43</v>
      </c>
      <c r="I10" s="355" t="s">
        <v>39</v>
      </c>
      <c r="J10" s="355" t="s">
        <v>40</v>
      </c>
      <c r="K10" s="355" t="s">
        <v>41</v>
      </c>
      <c r="L10" s="355" t="s">
        <v>41</v>
      </c>
      <c r="M10" s="355" t="s">
        <v>42</v>
      </c>
      <c r="N10" s="355" t="s">
        <v>43</v>
      </c>
    </row>
    <row r="11" spans="1:14" hidden="1" x14ac:dyDescent="0.2">
      <c r="A11" s="354" t="s">
        <v>44</v>
      </c>
      <c r="B11" s="355" t="s">
        <v>45</v>
      </c>
      <c r="C11" s="355" t="s">
        <v>46</v>
      </c>
      <c r="D11" s="355" t="s">
        <v>47</v>
      </c>
      <c r="E11" s="355" t="s">
        <v>48</v>
      </c>
      <c r="F11" s="355" t="s">
        <v>49</v>
      </c>
      <c r="G11" s="355" t="s">
        <v>50</v>
      </c>
      <c r="H11" s="355" t="s">
        <v>51</v>
      </c>
      <c r="I11" s="355" t="s">
        <v>47</v>
      </c>
      <c r="J11" s="355" t="s">
        <v>48</v>
      </c>
      <c r="K11" s="355" t="s">
        <v>49</v>
      </c>
      <c r="L11" s="355" t="s">
        <v>49</v>
      </c>
      <c r="M11" s="355" t="s">
        <v>50</v>
      </c>
      <c r="N11" s="355" t="s">
        <v>51</v>
      </c>
    </row>
    <row r="12" spans="1:14" hidden="1" x14ac:dyDescent="0.2">
      <c r="A12" s="354" t="s">
        <v>52</v>
      </c>
      <c r="B12" s="355" t="s">
        <v>53</v>
      </c>
      <c r="C12" s="355" t="s">
        <v>53</v>
      </c>
      <c r="D12" s="355" t="s">
        <v>53</v>
      </c>
      <c r="E12" s="355" t="s">
        <v>53</v>
      </c>
      <c r="F12" s="355" t="s">
        <v>53</v>
      </c>
      <c r="G12" s="355" t="s">
        <v>53</v>
      </c>
      <c r="H12" s="355" t="s">
        <v>53</v>
      </c>
      <c r="I12" s="355" t="s">
        <v>53</v>
      </c>
      <c r="J12" s="355" t="s">
        <v>53</v>
      </c>
      <c r="K12" s="355" t="s">
        <v>53</v>
      </c>
      <c r="L12" s="355" t="s">
        <v>53</v>
      </c>
      <c r="M12" s="355" t="s">
        <v>53</v>
      </c>
      <c r="N12" s="355" t="s">
        <v>53</v>
      </c>
    </row>
    <row r="13" spans="1:14" hidden="1" x14ac:dyDescent="0.2">
      <c r="A13" s="354" t="s">
        <v>54</v>
      </c>
      <c r="B13" s="355" t="s">
        <v>55</v>
      </c>
      <c r="C13" s="355" t="s">
        <v>55</v>
      </c>
      <c r="D13" s="355" t="s">
        <v>55</v>
      </c>
      <c r="E13" s="355" t="s">
        <v>55</v>
      </c>
      <c r="F13" s="355" t="s">
        <v>55</v>
      </c>
      <c r="G13" s="355" t="s">
        <v>55</v>
      </c>
      <c r="H13" s="355" t="s">
        <v>55</v>
      </c>
      <c r="I13" s="355" t="s">
        <v>55</v>
      </c>
      <c r="J13" s="355" t="s">
        <v>55</v>
      </c>
      <c r="K13" s="355" t="s">
        <v>55</v>
      </c>
      <c r="L13" s="355" t="s">
        <v>55</v>
      </c>
      <c r="M13" s="355" t="s">
        <v>55</v>
      </c>
      <c r="N13" s="355" t="s">
        <v>55</v>
      </c>
    </row>
    <row r="14" spans="1:14" hidden="1" x14ac:dyDescent="0.2">
      <c r="A14" s="354" t="s">
        <v>56</v>
      </c>
      <c r="B14" s="355" t="s">
        <v>57</v>
      </c>
      <c r="C14" s="355" t="s">
        <v>57</v>
      </c>
      <c r="D14" s="355" t="s">
        <v>57</v>
      </c>
      <c r="E14" s="355" t="s">
        <v>57</v>
      </c>
      <c r="F14" s="355" t="s">
        <v>57</v>
      </c>
      <c r="G14" s="355" t="s">
        <v>57</v>
      </c>
      <c r="H14" s="355" t="s">
        <v>57</v>
      </c>
      <c r="I14" s="355" t="s">
        <v>57</v>
      </c>
      <c r="J14" s="355" t="s">
        <v>57</v>
      </c>
      <c r="K14" s="355" t="s">
        <v>57</v>
      </c>
      <c r="L14" s="355" t="s">
        <v>57</v>
      </c>
      <c r="M14" s="355" t="s">
        <v>57</v>
      </c>
      <c r="N14" s="355" t="s">
        <v>57</v>
      </c>
    </row>
    <row r="15" spans="1:14" hidden="1" x14ac:dyDescent="0.2">
      <c r="A15" s="354" t="s">
        <v>58</v>
      </c>
      <c r="B15" s="355" t="s">
        <v>59</v>
      </c>
      <c r="C15" s="355" t="s">
        <v>59</v>
      </c>
      <c r="D15" s="355" t="s">
        <v>59</v>
      </c>
      <c r="E15" s="355" t="s">
        <v>60</v>
      </c>
      <c r="F15" s="355" t="s">
        <v>60</v>
      </c>
      <c r="G15" s="355" t="s">
        <v>61</v>
      </c>
      <c r="H15" s="355" t="s">
        <v>61</v>
      </c>
      <c r="I15" s="355" t="s">
        <v>59</v>
      </c>
      <c r="J15" s="355" t="s">
        <v>60</v>
      </c>
      <c r="K15" s="355" t="s">
        <v>60</v>
      </c>
      <c r="L15" s="355" t="s">
        <v>60</v>
      </c>
      <c r="M15" s="355" t="s">
        <v>61</v>
      </c>
      <c r="N15" s="355" t="s">
        <v>61</v>
      </c>
    </row>
    <row r="16" spans="1:14" hidden="1" x14ac:dyDescent="0.2">
      <c r="A16" s="354" t="s">
        <v>62</v>
      </c>
      <c r="B16" s="355" t="s">
        <v>63</v>
      </c>
      <c r="C16" s="355" t="s">
        <v>63</v>
      </c>
      <c r="D16" s="355" t="s">
        <v>63</v>
      </c>
      <c r="E16" s="355" t="s">
        <v>64</v>
      </c>
      <c r="F16" s="355" t="s">
        <v>64</v>
      </c>
      <c r="G16" s="355" t="s">
        <v>64</v>
      </c>
      <c r="H16" s="355" t="s">
        <v>64</v>
      </c>
      <c r="I16" s="355" t="s">
        <v>63</v>
      </c>
      <c r="J16" s="355" t="s">
        <v>64</v>
      </c>
      <c r="K16" s="355" t="s">
        <v>64</v>
      </c>
      <c r="L16" s="355" t="s">
        <v>64</v>
      </c>
      <c r="M16" s="355" t="s">
        <v>64</v>
      </c>
      <c r="N16" s="355" t="s">
        <v>64</v>
      </c>
    </row>
    <row r="17" spans="1:15" hidden="1" x14ac:dyDescent="0.2">
      <c r="A17" s="354" t="s">
        <v>65</v>
      </c>
      <c r="B17" s="355" t="s">
        <v>66</v>
      </c>
      <c r="C17" s="355" t="s">
        <v>66</v>
      </c>
      <c r="D17" s="355" t="s">
        <v>66</v>
      </c>
      <c r="E17" s="355" t="s">
        <v>66</v>
      </c>
      <c r="F17" s="355" t="s">
        <v>66</v>
      </c>
      <c r="G17" s="355" t="s">
        <v>66</v>
      </c>
      <c r="H17" s="355" t="s">
        <v>66</v>
      </c>
      <c r="I17" s="355" t="s">
        <v>66</v>
      </c>
      <c r="J17" s="355" t="s">
        <v>66</v>
      </c>
      <c r="K17" s="355" t="s">
        <v>66</v>
      </c>
      <c r="L17" s="355" t="s">
        <v>66</v>
      </c>
      <c r="M17" s="355" t="s">
        <v>66</v>
      </c>
      <c r="N17" s="355" t="s">
        <v>66</v>
      </c>
    </row>
    <row r="18" spans="1:15" ht="12" hidden="1" customHeight="1" thickBot="1" x14ac:dyDescent="0.25">
      <c r="A18" s="356" t="s">
        <v>125</v>
      </c>
      <c r="B18" s="356"/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</row>
    <row r="19" spans="1:15" hidden="1" x14ac:dyDescent="0.2">
      <c r="A19" s="356" t="s">
        <v>126</v>
      </c>
      <c r="B19" s="357">
        <v>1457807</v>
      </c>
      <c r="C19" s="357">
        <v>638076</v>
      </c>
      <c r="D19" s="357">
        <v>952518</v>
      </c>
      <c r="E19" s="357">
        <v>1364293</v>
      </c>
      <c r="F19" s="357">
        <v>1489663</v>
      </c>
      <c r="G19" s="357">
        <v>2925710</v>
      </c>
      <c r="H19" s="357">
        <v>1864556</v>
      </c>
      <c r="I19" s="357"/>
      <c r="J19" s="357"/>
      <c r="K19" s="357"/>
      <c r="L19" s="357"/>
      <c r="M19" s="357"/>
      <c r="N19" s="357"/>
    </row>
    <row r="20" spans="1:15" hidden="1" x14ac:dyDescent="0.2">
      <c r="A20" s="358" t="s">
        <v>127</v>
      </c>
      <c r="B20" s="357">
        <v>409709</v>
      </c>
      <c r="C20" s="357">
        <v>567217</v>
      </c>
      <c r="D20" s="357">
        <v>855378</v>
      </c>
      <c r="E20" s="357">
        <v>415979</v>
      </c>
      <c r="F20" s="357">
        <v>551504</v>
      </c>
      <c r="G20" s="357">
        <v>679939</v>
      </c>
      <c r="H20" s="357">
        <v>450488</v>
      </c>
      <c r="I20" s="357"/>
      <c r="J20" s="357"/>
      <c r="K20" s="357"/>
      <c r="L20" s="357"/>
      <c r="M20" s="357"/>
      <c r="N20" s="357"/>
    </row>
    <row r="21" spans="1:15" hidden="1" x14ac:dyDescent="0.2">
      <c r="A21" s="358" t="s">
        <v>128</v>
      </c>
      <c r="B21" s="357">
        <v>1047798</v>
      </c>
      <c r="C21" s="357">
        <v>70859</v>
      </c>
      <c r="D21" s="357">
        <v>93000</v>
      </c>
      <c r="E21" s="357">
        <v>453671</v>
      </c>
      <c r="F21" s="357">
        <v>150000</v>
      </c>
      <c r="G21" s="357">
        <v>425271</v>
      </c>
      <c r="H21" s="357">
        <v>295068</v>
      </c>
      <c r="I21" s="357"/>
      <c r="J21" s="357"/>
      <c r="K21" s="357"/>
      <c r="L21" s="357"/>
      <c r="M21" s="357"/>
      <c r="N21" s="357"/>
    </row>
    <row r="22" spans="1:15" hidden="1" x14ac:dyDescent="0.2">
      <c r="A22" s="358" t="s">
        <v>129</v>
      </c>
      <c r="B22" s="357">
        <v>300</v>
      </c>
      <c r="C22" s="357">
        <v>0</v>
      </c>
      <c r="D22" s="357">
        <v>4140</v>
      </c>
      <c r="E22" s="357">
        <v>494643</v>
      </c>
      <c r="F22" s="357">
        <v>788159</v>
      </c>
      <c r="G22" s="357">
        <v>1820500</v>
      </c>
      <c r="H22" s="357">
        <v>1119000</v>
      </c>
      <c r="I22" s="357"/>
      <c r="J22" s="357"/>
      <c r="K22" s="357"/>
      <c r="L22" s="357"/>
      <c r="M22" s="357"/>
      <c r="N22" s="357"/>
    </row>
    <row r="23" spans="1:15" hidden="1" x14ac:dyDescent="0.2">
      <c r="A23" s="356" t="s">
        <v>130</v>
      </c>
      <c r="B23" s="357">
        <v>115139</v>
      </c>
      <c r="C23" s="357">
        <v>294862</v>
      </c>
      <c r="D23" s="357">
        <v>220039</v>
      </c>
      <c r="E23" s="357">
        <v>260115</v>
      </c>
      <c r="F23" s="357">
        <v>114599</v>
      </c>
      <c r="G23" s="357">
        <v>72977</v>
      </c>
      <c r="H23" s="357">
        <v>82479</v>
      </c>
      <c r="I23" s="357">
        <f>I50*'Revenue breakdown'!G3</f>
        <v>336364.41288887011</v>
      </c>
      <c r="J23" s="357">
        <f>J50*'Revenue breakdown'!H3</f>
        <v>314829.20106648386</v>
      </c>
      <c r="K23" s="357">
        <f>K50*'Revenue breakdown'!I3</f>
        <v>268405.96473821485</v>
      </c>
      <c r="L23" s="357">
        <f>L50*'Revenue breakdown'!J3</f>
        <v>273737.95784155873</v>
      </c>
      <c r="M23" s="357">
        <f>M50*'Revenue breakdown'!K3</f>
        <v>317342.35592335853</v>
      </c>
      <c r="N23" s="357">
        <f>N50*'Revenue breakdown'!L3</f>
        <v>383069.27835307061</v>
      </c>
    </row>
    <row r="24" spans="1:15" hidden="1" x14ac:dyDescent="0.2">
      <c r="A24" s="358" t="s">
        <v>131</v>
      </c>
      <c r="B24" s="357">
        <v>119330</v>
      </c>
      <c r="C24" s="357">
        <v>305662</v>
      </c>
      <c r="D24" s="357">
        <v>237824</v>
      </c>
      <c r="E24" s="357">
        <v>294575</v>
      </c>
      <c r="F24" s="357">
        <v>172585</v>
      </c>
      <c r="G24" s="357">
        <v>80725</v>
      </c>
      <c r="H24" s="357">
        <v>89623</v>
      </c>
      <c r="I24" s="357"/>
      <c r="J24" s="357"/>
      <c r="K24" s="357"/>
      <c r="L24" s="357"/>
      <c r="M24" s="357"/>
      <c r="N24" s="357"/>
    </row>
    <row r="25" spans="1:15" hidden="1" x14ac:dyDescent="0.2">
      <c r="A25" s="358" t="s">
        <v>132</v>
      </c>
      <c r="B25" s="357">
        <v>-4191</v>
      </c>
      <c r="C25" s="357">
        <v>-10800</v>
      </c>
      <c r="D25" s="357">
        <v>-17785</v>
      </c>
      <c r="E25" s="357">
        <v>-34459</v>
      </c>
      <c r="F25" s="357">
        <v>-57986</v>
      </c>
      <c r="G25" s="357">
        <v>-7749</v>
      </c>
      <c r="H25" s="357">
        <v>-7143</v>
      </c>
      <c r="I25" s="357"/>
      <c r="J25" s="357"/>
      <c r="K25" s="357"/>
      <c r="L25" s="357"/>
      <c r="M25" s="357"/>
      <c r="N25" s="357"/>
    </row>
    <row r="26" spans="1:15" s="76" customFormat="1" ht="16" thickBot="1" x14ac:dyDescent="0.25">
      <c r="A26" s="356" t="s">
        <v>645</v>
      </c>
      <c r="B26" s="357"/>
      <c r="C26" s="357"/>
      <c r="D26" s="357">
        <f>D28-D31</f>
        <v>997840</v>
      </c>
      <c r="E26" s="357">
        <f>E28-E31</f>
        <v>888087</v>
      </c>
      <c r="F26" s="357">
        <f>F28-F31</f>
        <v>545692</v>
      </c>
      <c r="G26" s="357">
        <f>G28-G31</f>
        <v>477246</v>
      </c>
      <c r="H26" s="357">
        <f>H28-H31</f>
        <v>603715</v>
      </c>
      <c r="I26" s="357">
        <f>I27*'Revenue breakdown'!G3</f>
        <v>1512827.5851792605</v>
      </c>
      <c r="J26" s="357">
        <f>J27*'Revenue breakdown'!H3</f>
        <v>1533930.6197407229</v>
      </c>
      <c r="K26" s="357">
        <f>K27*'Revenue breakdown'!I3</f>
        <v>1654138.0177474155</v>
      </c>
      <c r="L26" s="357">
        <f>L27*'Revenue breakdown'!J3</f>
        <v>1792479.8606264016</v>
      </c>
      <c r="M26" s="357">
        <f>M27*'Revenue breakdown'!K3</f>
        <v>1913717.0520399516</v>
      </c>
      <c r="N26" s="357">
        <f>N27*'Revenue breakdown'!L3</f>
        <v>2078532.6113094131</v>
      </c>
    </row>
    <row r="27" spans="1:15" x14ac:dyDescent="0.2">
      <c r="A27" s="354" t="s">
        <v>644</v>
      </c>
      <c r="B27" s="357"/>
      <c r="C27" s="357"/>
      <c r="D27" s="359">
        <f>D26/'Revenue breakdown'!B3</f>
        <v>6.5225398711689864E-2</v>
      </c>
      <c r="E27" s="359">
        <f>E26/'Revenue breakdown'!C3</f>
        <v>5.3389992521323849E-2</v>
      </c>
      <c r="F27" s="359">
        <f>F26/'Revenue breakdown'!D3</f>
        <v>3.7219594804513097E-2</v>
      </c>
      <c r="G27" s="359">
        <f>G26/'Revenue breakdown'!E3</f>
        <v>2.1215684703787662E-2</v>
      </c>
      <c r="H27" s="359">
        <f>H26/'Revenue breakdown'!F3</f>
        <v>2.0013226235895409E-2</v>
      </c>
      <c r="I27" s="363">
        <f>AVERAGE(D27:H27)</f>
        <v>3.9412779395441973E-2</v>
      </c>
      <c r="J27" s="363">
        <f t="shared" ref="J27:N27" si="0">MEDIAN(E27:I27)</f>
        <v>3.7219594804513097E-2</v>
      </c>
      <c r="K27" s="363">
        <f t="shared" si="0"/>
        <v>3.7219594804513097E-2</v>
      </c>
      <c r="L27" s="363">
        <f t="shared" si="0"/>
        <v>3.7219594804513097E-2</v>
      </c>
      <c r="M27" s="363">
        <f t="shared" si="0"/>
        <v>3.7219594804513097E-2</v>
      </c>
      <c r="N27" s="363">
        <f t="shared" si="0"/>
        <v>3.7219594804513097E-2</v>
      </c>
      <c r="O27" s="101"/>
    </row>
    <row r="28" spans="1:15" hidden="1" x14ac:dyDescent="0.2">
      <c r="A28" s="356" t="s">
        <v>133</v>
      </c>
      <c r="B28" s="357">
        <v>852723</v>
      </c>
      <c r="C28" s="357">
        <v>1026478</v>
      </c>
      <c r="D28" s="357">
        <v>1118199</v>
      </c>
      <c r="E28" s="357">
        <v>1210446</v>
      </c>
      <c r="F28" s="357">
        <v>1430692</v>
      </c>
      <c r="G28" s="357">
        <v>2037246</v>
      </c>
      <c r="H28" s="357">
        <v>643715</v>
      </c>
      <c r="I28" s="357">
        <f>I29*'Revenue breakdown'!G3</f>
        <v>2667554.1564704697</v>
      </c>
      <c r="J28" s="357">
        <f>J29*'Revenue breakdown'!H3</f>
        <v>2899346.9060254507</v>
      </c>
      <c r="K28" s="357">
        <f>K29*'Revenue breakdown'!I3</f>
        <v>3105052.4941230915</v>
      </c>
      <c r="L28" s="357">
        <f>L29*'Revenue breakdown'!J3</f>
        <v>3097785.206995544</v>
      </c>
      <c r="M28" s="357">
        <f>M29*'Revenue breakdown'!K3</f>
        <v>3037460.4361112765</v>
      </c>
      <c r="N28" s="357">
        <f>N29*'Revenue breakdown'!L3</f>
        <v>3720529.3623129455</v>
      </c>
      <c r="O28" s="18"/>
    </row>
    <row r="29" spans="1:15" s="140" customFormat="1" hidden="1" x14ac:dyDescent="0.2">
      <c r="A29" s="354" t="s">
        <v>644</v>
      </c>
      <c r="B29" s="357"/>
      <c r="C29" s="357"/>
      <c r="D29" s="359">
        <f>D26/'Revenue breakdown'!B3</f>
        <v>6.5225398711689864E-2</v>
      </c>
      <c r="E29" s="359">
        <f>E28/'Revenue breakdown'!C3</f>
        <v>7.2769562990412387E-2</v>
      </c>
      <c r="F29" s="359">
        <f>F28/'Revenue breakdown'!D3</f>
        <v>9.7582109560078678E-2</v>
      </c>
      <c r="G29" s="359">
        <f>G28/'Revenue breakdown'!E3</f>
        <v>9.0564549100574127E-2</v>
      </c>
      <c r="H29" s="359">
        <f>H28/'Revenue breakdown'!F3</f>
        <v>2.1339231137936631E-2</v>
      </c>
      <c r="I29" s="359">
        <f>AVERAGE(D29:H29)</f>
        <v>6.9496170300138341E-2</v>
      </c>
      <c r="J29" s="359">
        <f t="shared" ref="J29:M29" si="1">AVERAGE(E29:I29)</f>
        <v>7.0350324617828031E-2</v>
      </c>
      <c r="K29" s="359">
        <f t="shared" si="1"/>
        <v>6.9866476943311162E-2</v>
      </c>
      <c r="L29" s="359">
        <f t="shared" si="1"/>
        <v>6.4323350419957653E-2</v>
      </c>
      <c r="M29" s="359">
        <f t="shared" si="1"/>
        <v>5.9075110683834364E-2</v>
      </c>
      <c r="N29" s="359">
        <f>AVERAGE(I29:M29)</f>
        <v>6.6622286593013919E-2</v>
      </c>
      <c r="O29" s="139"/>
    </row>
    <row r="30" spans="1:15" hidden="1" x14ac:dyDescent="0.2">
      <c r="A30" s="354" t="s">
        <v>598</v>
      </c>
      <c r="B30" s="357"/>
      <c r="C30" s="357"/>
      <c r="D30" s="364">
        <f>D28/C28-1</f>
        <v>8.9355056805893618E-2</v>
      </c>
      <c r="E30" s="364">
        <f t="shared" ref="E30:H30" si="2">E28/D28-1</f>
        <v>8.2496049450947462E-2</v>
      </c>
      <c r="F30" s="364">
        <f t="shared" si="2"/>
        <v>0.18195442010630791</v>
      </c>
      <c r="G30" s="364">
        <f t="shared" si="2"/>
        <v>0.42395847603816894</v>
      </c>
      <c r="H30" s="364">
        <f t="shared" si="2"/>
        <v>-0.68402686764386822</v>
      </c>
      <c r="I30" s="357"/>
      <c r="J30" s="357"/>
      <c r="K30" s="357"/>
      <c r="L30" s="357"/>
      <c r="M30" s="357"/>
      <c r="N30" s="357"/>
      <c r="O30" s="26"/>
    </row>
    <row r="31" spans="1:15" hidden="1" x14ac:dyDescent="0.2">
      <c r="A31" s="358" t="s">
        <v>134</v>
      </c>
      <c r="B31" s="357">
        <v>280150</v>
      </c>
      <c r="C31" s="357">
        <v>0</v>
      </c>
      <c r="D31" s="357">
        <v>120359</v>
      </c>
      <c r="E31" s="357">
        <v>322359</v>
      </c>
      <c r="F31" s="357">
        <v>885000</v>
      </c>
      <c r="G31" s="357">
        <v>1560000</v>
      </c>
      <c r="H31" s="357">
        <v>40000</v>
      </c>
      <c r="I31" s="357"/>
      <c r="J31" s="357"/>
      <c r="K31" s="357"/>
      <c r="L31" s="357"/>
      <c r="M31" s="357"/>
      <c r="N31" s="357"/>
    </row>
    <row r="32" spans="1:15" hidden="1" x14ac:dyDescent="0.2">
      <c r="A32" s="358" t="s">
        <v>135</v>
      </c>
      <c r="B32" s="357">
        <v>457434</v>
      </c>
      <c r="C32" s="357">
        <v>731616</v>
      </c>
      <c r="D32" s="357">
        <v>777800</v>
      </c>
      <c r="E32" s="357">
        <v>627971</v>
      </c>
      <c r="F32" s="357">
        <v>431093</v>
      </c>
      <c r="G32" s="357">
        <v>404269</v>
      </c>
      <c r="H32" s="357">
        <v>521235</v>
      </c>
      <c r="I32" s="359"/>
      <c r="J32" s="357"/>
      <c r="K32" s="357"/>
      <c r="L32" s="357"/>
      <c r="M32" s="357"/>
      <c r="N32" s="357"/>
    </row>
    <row r="33" spans="1:15" s="76" customFormat="1" x14ac:dyDescent="0.2">
      <c r="A33" s="356" t="s">
        <v>136</v>
      </c>
      <c r="B33" s="357">
        <v>1948265</v>
      </c>
      <c r="C33" s="357">
        <v>1723478</v>
      </c>
      <c r="D33" s="357">
        <v>2506219</v>
      </c>
      <c r="E33" s="357">
        <v>3383542</v>
      </c>
      <c r="F33" s="357">
        <v>1826718</v>
      </c>
      <c r="G33" s="357">
        <v>4930359</v>
      </c>
      <c r="H33" s="357">
        <v>6483828</v>
      </c>
      <c r="I33" s="357">
        <f t="shared" ref="I33:M33" si="3">SUM(I36,I39)</f>
        <v>7819825.0120871011</v>
      </c>
      <c r="J33" s="357">
        <f t="shared" si="3"/>
        <v>8224217.6671113083</v>
      </c>
      <c r="K33" s="357">
        <f t="shared" si="3"/>
        <v>8861137.9132367671</v>
      </c>
      <c r="L33" s="357">
        <f t="shared" si="3"/>
        <v>9022495.3895875439</v>
      </c>
      <c r="M33" s="357">
        <f t="shared" si="3"/>
        <v>9192019.1891799606</v>
      </c>
      <c r="N33" s="357">
        <f>SUM(N36,N39)</f>
        <v>9649471.5403567888</v>
      </c>
    </row>
    <row r="34" spans="1:15" s="76" customFormat="1" x14ac:dyDescent="0.2">
      <c r="A34" s="354" t="s">
        <v>614</v>
      </c>
      <c r="B34" s="357"/>
      <c r="C34" s="357"/>
      <c r="D34" s="357"/>
      <c r="E34" s="359">
        <f>E33/D33-1</f>
        <v>0.35005839473725153</v>
      </c>
      <c r="F34" s="359">
        <f t="shared" ref="F34:H34" si="4">F33/E33-1</f>
        <v>-0.46011664699300314</v>
      </c>
      <c r="G34" s="359">
        <f t="shared" si="4"/>
        <v>1.699025793800685</v>
      </c>
      <c r="H34" s="359">
        <f t="shared" si="4"/>
        <v>0.31508232970459149</v>
      </c>
      <c r="I34" s="357"/>
      <c r="J34" s="357"/>
      <c r="K34" s="357"/>
      <c r="L34" s="357"/>
      <c r="M34" s="357"/>
      <c r="N34" s="357"/>
    </row>
    <row r="35" spans="1:15" x14ac:dyDescent="0.2">
      <c r="A35" s="354" t="s">
        <v>648</v>
      </c>
      <c r="B35" s="357"/>
      <c r="C35" s="357"/>
      <c r="D35" s="364">
        <f>D33/'Revenue breakdown'!B3</f>
        <v>0.16382299119479343</v>
      </c>
      <c r="E35" s="364">
        <f>E33/'Revenue breakdown'!C3</f>
        <v>0.20341169511048482</v>
      </c>
      <c r="F35" s="364">
        <f>F33/'Revenue breakdown'!D3</f>
        <v>0.12459355054153361</v>
      </c>
      <c r="G35" s="364">
        <f>G33/'Revenue breakdown'!E3</f>
        <v>0.21917615238363827</v>
      </c>
      <c r="H35" s="364">
        <f>H33/'Revenue breakdown'!F3</f>
        <v>0.21493969279980332</v>
      </c>
      <c r="I35" s="364">
        <f>I33/'Revenue breakdown'!G3</f>
        <v>0.20372515753394888</v>
      </c>
      <c r="J35" s="364">
        <f>J33/'Revenue breakdown'!H3</f>
        <v>0.19955403798233107</v>
      </c>
      <c r="K35" s="364">
        <f>K33/'Revenue breakdown'!I3</f>
        <v>0.19938358171992779</v>
      </c>
      <c r="L35" s="364">
        <f>L33/'Revenue breakdown'!J3</f>
        <v>0.1873458273660504</v>
      </c>
      <c r="M35" s="364">
        <f>M33/'Revenue breakdown'!K3</f>
        <v>0.17877419720532689</v>
      </c>
      <c r="N35" s="364">
        <f>N33/'Revenue breakdown'!L3</f>
        <v>0.17278988977878348</v>
      </c>
    </row>
    <row r="36" spans="1:15" x14ac:dyDescent="0.2">
      <c r="A36" s="354" t="s">
        <v>615</v>
      </c>
      <c r="B36" s="357"/>
      <c r="C36" s="357"/>
      <c r="D36" s="357">
        <f>D33*'Revenue breakdown'!B8</f>
        <v>2449700.0680377963</v>
      </c>
      <c r="E36" s="357">
        <f>E33*'Revenue breakdown'!C8</f>
        <v>3279642.5607246859</v>
      </c>
      <c r="F36" s="357">
        <f>F33*'Revenue breakdown'!D8</f>
        <v>1678988.673058409</v>
      </c>
      <c r="G36" s="357">
        <f>G33*'Revenue breakdown'!E8</f>
        <v>4067489.2275562068</v>
      </c>
      <c r="H36" s="357">
        <f>H33*'Revenue breakdown'!F8</f>
        <v>4446850.5496476628</v>
      </c>
      <c r="I36" s="357">
        <f>I37*'Revenue breakdown'!G9</f>
        <v>5144009.353730699</v>
      </c>
      <c r="J36" s="357">
        <f>J37*'Revenue breakdown'!H9</f>
        <v>5309698.0110443821</v>
      </c>
      <c r="K36" s="357">
        <f>K37*'Revenue breakdown'!I9</f>
        <v>5676725.9945350746</v>
      </c>
      <c r="L36" s="357">
        <f>L37*'Revenue breakdown'!J9</f>
        <v>5801236.4140276471</v>
      </c>
      <c r="M36" s="357">
        <f>M37*'Revenue breakdown'!K9</f>
        <v>6048683.3774015121</v>
      </c>
      <c r="N36" s="357">
        <f>N37*'Revenue breakdown'!L9</f>
        <v>6369454.7234151531</v>
      </c>
    </row>
    <row r="37" spans="1:15" s="95" customFormat="1" x14ac:dyDescent="0.2">
      <c r="A37" s="354" t="s">
        <v>616</v>
      </c>
      <c r="B37" s="357"/>
      <c r="C37" s="357"/>
      <c r="D37" s="357">
        <f>D36/'Revenue breakdown'!B9</f>
        <v>4596.0601651741017</v>
      </c>
      <c r="E37" s="357">
        <f>E36/'Revenue breakdown'!C9</f>
        <v>5530.5945374783914</v>
      </c>
      <c r="F37" s="357">
        <f>F36/'Revenue breakdown'!D9</f>
        <v>2821.8297026191749</v>
      </c>
      <c r="G37" s="357">
        <f>G36/'Revenue breakdown'!E9</f>
        <v>6286.6912326989286</v>
      </c>
      <c r="H37" s="357">
        <f>H36/'Revenue breakdown'!F9</f>
        <v>5657.5706738519884</v>
      </c>
      <c r="I37" s="357">
        <f>H37*(1+I38)</f>
        <v>5949.6766785394475</v>
      </c>
      <c r="J37" s="357">
        <f t="shared" ref="J37:N37" si="5">I37*(1+J38)</f>
        <v>5805.5730912339177</v>
      </c>
      <c r="K37" s="357">
        <f t="shared" si="5"/>
        <v>5885.140179707173</v>
      </c>
      <c r="L37" s="357">
        <f t="shared" si="5"/>
        <v>5854.1987255935146</v>
      </c>
      <c r="M37" s="357">
        <f t="shared" si="5"/>
        <v>5878.9260953048579</v>
      </c>
      <c r="N37" s="357">
        <f t="shared" si="5"/>
        <v>5875.887611139804</v>
      </c>
    </row>
    <row r="38" spans="1:15" s="95" customFormat="1" x14ac:dyDescent="0.2">
      <c r="A38" s="354" t="s">
        <v>614</v>
      </c>
      <c r="B38" s="357"/>
      <c r="C38" s="357"/>
      <c r="D38" s="357"/>
      <c r="E38" s="359">
        <f>(E37-D37)/D37</f>
        <v>0.20333379867077719</v>
      </c>
      <c r="F38" s="359">
        <f>(F37-E37)/E37</f>
        <v>-0.48977823568571444</v>
      </c>
      <c r="G38" s="359">
        <f>(G37-F37)/F37</f>
        <v>1.2278776167334717</v>
      </c>
      <c r="H38" s="359">
        <f>(H37-G37)/G37</f>
        <v>-0.100071808135685</v>
      </c>
      <c r="I38" s="364">
        <f>MEDIAN(E38:H38)</f>
        <v>5.1630995267546109E-2</v>
      </c>
      <c r="J38" s="364">
        <f t="shared" ref="J38:N38" si="6">MEDIAN(F38:I38)</f>
        <v>-2.4220406434069447E-2</v>
      </c>
      <c r="K38" s="364">
        <f t="shared" si="6"/>
        <v>1.3705294416738331E-2</v>
      </c>
      <c r="L38" s="364">
        <f t="shared" si="6"/>
        <v>-5.2575560086655579E-3</v>
      </c>
      <c r="M38" s="364">
        <f t="shared" si="6"/>
        <v>4.2238692040363866E-3</v>
      </c>
      <c r="N38" s="364">
        <f t="shared" si="6"/>
        <v>-5.1684340231458563E-4</v>
      </c>
    </row>
    <row r="39" spans="1:15" x14ac:dyDescent="0.2">
      <c r="A39" s="354" t="s">
        <v>617</v>
      </c>
      <c r="B39" s="357"/>
      <c r="C39" s="357"/>
      <c r="D39" s="357">
        <f>D33*'Revenue breakdown'!B15</f>
        <v>56518.931962203736</v>
      </c>
      <c r="E39" s="357">
        <f>E33*'Revenue breakdown'!C15</f>
        <v>103899.23586361877</v>
      </c>
      <c r="F39" s="357">
        <f>F33*'Revenue breakdown'!D15</f>
        <v>148370.98372687987</v>
      </c>
      <c r="G39" s="357">
        <f>G33*'Revenue breakdown'!E15</f>
        <v>871704.76314637752</v>
      </c>
      <c r="H39" s="357">
        <f>H33*'Revenue breakdown'!F15</f>
        <v>2062548.8256047301</v>
      </c>
      <c r="I39" s="357">
        <f>I40*'Revenue breakdown'!G16</f>
        <v>2675815.6583564016</v>
      </c>
      <c r="J39" s="357">
        <f>J40*'Revenue breakdown'!H16</f>
        <v>2914519.6560669262</v>
      </c>
      <c r="K39" s="357">
        <f>K40*'Revenue breakdown'!I16</f>
        <v>3184411.918701692</v>
      </c>
      <c r="L39" s="357">
        <f>L40*'Revenue breakdown'!J16</f>
        <v>3221258.9755598973</v>
      </c>
      <c r="M39" s="357">
        <f>M40*'Revenue breakdown'!K16</f>
        <v>3143335.8117784476</v>
      </c>
      <c r="N39" s="357">
        <f>N40*'Revenue breakdown'!L16</f>
        <v>3280016.8169416366</v>
      </c>
    </row>
    <row r="40" spans="1:15" s="95" customFormat="1" x14ac:dyDescent="0.2">
      <c r="A40" s="354" t="s">
        <v>618</v>
      </c>
      <c r="B40" s="357"/>
      <c r="C40" s="357"/>
      <c r="D40" s="357">
        <f>D39/'Revenue breakdown'!B16</f>
        <v>1883.9643987401246</v>
      </c>
      <c r="E40" s="357">
        <f>E39/'Revenue breakdown'!C16</f>
        <v>1527.9299391708644</v>
      </c>
      <c r="F40" s="357">
        <f>F39/'Revenue breakdown'!D16</f>
        <v>741.85491863439938</v>
      </c>
      <c r="G40" s="357">
        <f>G39/'Revenue breakdown'!E16</f>
        <v>2179.2619078659436</v>
      </c>
      <c r="H40" s="357">
        <f>H39/'Revenue breakdown'!F16</f>
        <v>2062.5488256047302</v>
      </c>
      <c r="I40" s="357">
        <f>AVERAGE(D40:H40)</f>
        <v>1679.1119980032126</v>
      </c>
      <c r="J40" s="357">
        <f t="shared" ref="J40:N40" si="7">I40*(1+J41)</f>
        <v>1532.3365139565497</v>
      </c>
      <c r="K40" s="357">
        <f t="shared" si="7"/>
        <v>1424.3306885487616</v>
      </c>
      <c r="L40" s="357">
        <f t="shared" si="7"/>
        <v>1311.8819406077869</v>
      </c>
      <c r="M40" s="357">
        <f t="shared" si="7"/>
        <v>1202.7589140221305</v>
      </c>
      <c r="N40" s="357">
        <f t="shared" si="7"/>
        <v>1105.2578597959578</v>
      </c>
    </row>
    <row r="41" spans="1:15" s="95" customFormat="1" ht="16" thickBot="1" x14ac:dyDescent="0.25">
      <c r="A41" s="354" t="s">
        <v>614</v>
      </c>
      <c r="B41" s="357"/>
      <c r="C41" s="357"/>
      <c r="D41" s="357"/>
      <c r="E41" s="359">
        <f>(E40-D40)/D40</f>
        <v>-0.18898152205389518</v>
      </c>
      <c r="F41" s="359">
        <f>(F40-E40)/E40</f>
        <v>-0.51447059212874047</v>
      </c>
      <c r="G41" s="359">
        <f t="shared" ref="G41" si="8">(G40-F40)/F40</f>
        <v>1.9375850360034164</v>
      </c>
      <c r="H41" s="359">
        <f>(H40-G40)/G40</f>
        <v>-5.3556243900718434E-2</v>
      </c>
      <c r="I41" s="364">
        <f>MEDIAN(E41:H41)</f>
        <v>-0.12126888297730681</v>
      </c>
      <c r="J41" s="364">
        <f>MEDIAN(F41:I41)</f>
        <v>-8.741256343901263E-2</v>
      </c>
      <c r="K41" s="364">
        <f t="shared" ref="K41:M41" si="9">MEDIAN(G41:J41)</f>
        <v>-7.0484403669865525E-2</v>
      </c>
      <c r="L41" s="364">
        <f t="shared" si="9"/>
        <v>-7.8948483554439078E-2</v>
      </c>
      <c r="M41" s="364">
        <f t="shared" si="9"/>
        <v>-8.3180523496725861E-2</v>
      </c>
      <c r="N41" s="364">
        <f>MEDIAN(J41:M41)</f>
        <v>-8.1064503525582476E-2</v>
      </c>
    </row>
    <row r="42" spans="1:15" ht="16" hidden="1" thickBot="1" x14ac:dyDescent="0.25">
      <c r="A42" s="358" t="s">
        <v>137</v>
      </c>
      <c r="B42" s="357">
        <v>1909828</v>
      </c>
      <c r="C42" s="357">
        <v>1679782</v>
      </c>
      <c r="D42" s="357">
        <v>2507175</v>
      </c>
      <c r="E42" s="357">
        <v>3380942</v>
      </c>
      <c r="F42" s="357">
        <v>1847193</v>
      </c>
      <c r="G42" s="357">
        <v>4933953</v>
      </c>
      <c r="H42" s="357">
        <v>6487575</v>
      </c>
      <c r="I42" s="357"/>
      <c r="J42" s="357"/>
      <c r="K42" s="357"/>
      <c r="L42" s="357"/>
      <c r="M42" s="357"/>
      <c r="N42" s="357"/>
    </row>
    <row r="43" spans="1:15" ht="16" hidden="1" thickBot="1" x14ac:dyDescent="0.25">
      <c r="A43" s="358" t="s">
        <v>138</v>
      </c>
      <c r="B43" s="357">
        <v>38437</v>
      </c>
      <c r="C43" s="357">
        <v>43696</v>
      </c>
      <c r="D43" s="357">
        <v>-956</v>
      </c>
      <c r="E43" s="357">
        <v>2600</v>
      </c>
      <c r="F43" s="357">
        <v>-20476</v>
      </c>
      <c r="G43" s="357">
        <v>-3594</v>
      </c>
      <c r="H43" s="357">
        <v>-3747</v>
      </c>
      <c r="I43" s="357"/>
      <c r="J43" s="357"/>
      <c r="K43" s="357"/>
      <c r="L43" s="357"/>
      <c r="M43" s="357"/>
      <c r="N43" s="357"/>
    </row>
    <row r="44" spans="1:15" ht="16" hidden="1" thickBot="1" x14ac:dyDescent="0.25">
      <c r="A44" s="356" t="s">
        <v>81</v>
      </c>
      <c r="B44" s="357">
        <v>149918</v>
      </c>
      <c r="C44" s="357">
        <v>121298</v>
      </c>
      <c r="D44" s="357">
        <v>238333</v>
      </c>
      <c r="E44" s="357">
        <v>214958</v>
      </c>
      <c r="F44" s="357">
        <v>212927</v>
      </c>
      <c r="G44" s="357">
        <v>328617</v>
      </c>
      <c r="H44" s="357">
        <v>334699</v>
      </c>
      <c r="I44" s="357">
        <f>AVERAGE(C44:H44)</f>
        <v>241805.33333333334</v>
      </c>
      <c r="J44" s="357">
        <f t="shared" ref="J44:N44" si="10">AVERAGE(D44:I44)</f>
        <v>261889.88888888888</v>
      </c>
      <c r="K44" s="357">
        <f t="shared" si="10"/>
        <v>265816.03703703702</v>
      </c>
      <c r="L44" s="357">
        <f t="shared" si="10"/>
        <v>274292.37654320983</v>
      </c>
      <c r="M44" s="357">
        <f t="shared" si="10"/>
        <v>284519.93930041156</v>
      </c>
      <c r="N44" s="357">
        <f t="shared" si="10"/>
        <v>277170.42918381345</v>
      </c>
    </row>
    <row r="45" spans="1:15" ht="16" hidden="1" thickBot="1" x14ac:dyDescent="0.25">
      <c r="A45" s="356" t="s">
        <v>139</v>
      </c>
      <c r="B45" s="357" t="s">
        <v>72</v>
      </c>
      <c r="C45" s="357" t="s">
        <v>72</v>
      </c>
      <c r="D45" s="357" t="s">
        <v>72</v>
      </c>
      <c r="E45" s="357" t="s">
        <v>72</v>
      </c>
      <c r="F45" s="357" t="s">
        <v>72</v>
      </c>
      <c r="G45" s="357" t="s">
        <v>72</v>
      </c>
      <c r="H45" s="357" t="s">
        <v>72</v>
      </c>
      <c r="I45" s="357"/>
      <c r="J45" s="357"/>
      <c r="K45" s="357"/>
      <c r="L45" s="357"/>
      <c r="M45" s="357"/>
      <c r="N45" s="357"/>
    </row>
    <row r="46" spans="1:15" ht="16" hidden="1" thickBot="1" x14ac:dyDescent="0.25">
      <c r="A46" s="356"/>
      <c r="B46" s="357"/>
      <c r="C46" s="357"/>
      <c r="D46" s="359">
        <f>(D33-C33)/C33</f>
        <v>0.45416361566553215</v>
      </c>
      <c r="E46" s="359">
        <f>(E33-D33)/D33</f>
        <v>0.35005839473725159</v>
      </c>
      <c r="F46" s="359">
        <f t="shared" ref="F46:H46" si="11">(F33-E33)/E33</f>
        <v>-0.4601166469930032</v>
      </c>
      <c r="G46" s="359">
        <f t="shared" si="11"/>
        <v>1.6990257938006852</v>
      </c>
      <c r="H46" s="359">
        <f t="shared" si="11"/>
        <v>0.31508232970459149</v>
      </c>
      <c r="I46" s="364"/>
      <c r="J46" s="364"/>
      <c r="K46" s="364"/>
      <c r="L46" s="364"/>
      <c r="M46" s="364">
        <f t="shared" ref="M46" si="12">H46/G46-1</f>
        <v>-0.81455117935569477</v>
      </c>
      <c r="N46" s="364"/>
    </row>
    <row r="47" spans="1:15" s="98" customFormat="1" ht="30" x14ac:dyDescent="0.2">
      <c r="A47" s="360" t="s">
        <v>911</v>
      </c>
      <c r="B47" s="357"/>
      <c r="C47" s="357">
        <f>SUM(C23,C28,C33,C44)</f>
        <v>3166116</v>
      </c>
      <c r="D47" s="357">
        <f t="shared" ref="D47:N47" si="13">D26+D33</f>
        <v>3504059</v>
      </c>
      <c r="E47" s="357">
        <f t="shared" si="13"/>
        <v>4271629</v>
      </c>
      <c r="F47" s="357">
        <f t="shared" si="13"/>
        <v>2372410</v>
      </c>
      <c r="G47" s="357">
        <f t="shared" si="13"/>
        <v>5407605</v>
      </c>
      <c r="H47" s="357">
        <f t="shared" si="13"/>
        <v>7087543</v>
      </c>
      <c r="I47" s="357">
        <f t="shared" si="13"/>
        <v>9332652.5972663611</v>
      </c>
      <c r="J47" s="357">
        <f t="shared" si="13"/>
        <v>9758148.2868520319</v>
      </c>
      <c r="K47" s="357">
        <f t="shared" si="13"/>
        <v>10515275.930984182</v>
      </c>
      <c r="L47" s="357">
        <f t="shared" si="13"/>
        <v>10814975.250213945</v>
      </c>
      <c r="M47" s="357">
        <f t="shared" si="13"/>
        <v>11105736.241219912</v>
      </c>
      <c r="N47" s="357">
        <f t="shared" si="13"/>
        <v>11728004.151666202</v>
      </c>
      <c r="O47" s="97"/>
    </row>
    <row r="48" spans="1:15" hidden="1" x14ac:dyDescent="0.2">
      <c r="A48" s="356" t="s">
        <v>140</v>
      </c>
      <c r="B48" s="357">
        <v>4408713</v>
      </c>
      <c r="C48" s="357">
        <v>3509330</v>
      </c>
      <c r="D48" s="357">
        <v>4815269</v>
      </c>
      <c r="E48" s="357">
        <v>6173239</v>
      </c>
      <c r="F48" s="357">
        <v>4959999</v>
      </c>
      <c r="G48" s="357">
        <v>10221932</v>
      </c>
      <c r="H48" s="357">
        <v>9326797</v>
      </c>
      <c r="I48" s="357"/>
      <c r="J48" s="357"/>
      <c r="K48" s="357"/>
      <c r="L48" s="357"/>
      <c r="M48" s="357"/>
      <c r="N48" s="357"/>
    </row>
    <row r="49" spans="1:14" hidden="1" x14ac:dyDescent="0.2">
      <c r="A49" s="381" t="s">
        <v>620</v>
      </c>
      <c r="B49" s="360"/>
      <c r="C49" s="360"/>
      <c r="D49" s="363">
        <f t="shared" ref="D49:N49" si="14">(D23-C23)/C23</f>
        <v>-0.25375599432955076</v>
      </c>
      <c r="E49" s="363">
        <f t="shared" si="14"/>
        <v>0.18213134944259882</v>
      </c>
      <c r="F49" s="363">
        <f t="shared" si="14"/>
        <v>-0.55942948311323837</v>
      </c>
      <c r="G49" s="363">
        <f t="shared" si="14"/>
        <v>-0.36319688653478649</v>
      </c>
      <c r="H49" s="363">
        <f t="shared" si="14"/>
        <v>0.13020540718308507</v>
      </c>
      <c r="I49" s="363">
        <f t="shared" si="14"/>
        <v>3.0781824814664351</v>
      </c>
      <c r="J49" s="363">
        <f t="shared" si="14"/>
        <v>-6.4023454911388528E-2</v>
      </c>
      <c r="K49" s="363">
        <f t="shared" si="14"/>
        <v>-0.14745530646779365</v>
      </c>
      <c r="L49" s="363">
        <f t="shared" si="14"/>
        <v>1.9865404662464729E-2</v>
      </c>
      <c r="M49" s="363">
        <f t="shared" si="14"/>
        <v>0.15929247966056026</v>
      </c>
      <c r="N49" s="363">
        <f t="shared" si="14"/>
        <v>0.20711676586149066</v>
      </c>
    </row>
    <row r="50" spans="1:14" hidden="1" x14ac:dyDescent="0.2">
      <c r="A50" s="381" t="s">
        <v>613</v>
      </c>
      <c r="B50" s="363">
        <f>B23/'FPT Digital Retail JSC | Income'!C23</f>
        <v>1.0608804536561028E-2</v>
      </c>
      <c r="C50" s="363">
        <f>C23/'FPT Digital Retail JSC | Income'!D23</f>
        <v>2.2428909866987562E-2</v>
      </c>
      <c r="D50" s="363">
        <f>D23/'Revenue breakdown'!B3</f>
        <v>1.4383199217431178E-2</v>
      </c>
      <c r="E50" s="363">
        <f>E23/'Revenue breakdown'!C3</f>
        <v>1.5637587201123484E-2</v>
      </c>
      <c r="F50" s="363">
        <f>F23/'Revenue breakdown'!D3</f>
        <v>7.8163659078791629E-3</v>
      </c>
      <c r="G50" s="363">
        <f>G23/'Revenue breakdown'!E3</f>
        <v>3.2441487673617216E-3</v>
      </c>
      <c r="H50" s="363">
        <f>H23/'Revenue breakdown'!F3</f>
        <v>2.7341889578864488E-3</v>
      </c>
      <c r="I50" s="382">
        <f>AVERAGE(D50:H50)</f>
        <v>8.7630980103363988E-3</v>
      </c>
      <c r="J50" s="382">
        <f t="shared" ref="J50:N50" si="15">AVERAGE(E50:I50)</f>
        <v>7.6390777689174429E-3</v>
      </c>
      <c r="K50" s="382">
        <f t="shared" si="15"/>
        <v>6.0393758824762349E-3</v>
      </c>
      <c r="L50" s="382">
        <f t="shared" si="15"/>
        <v>5.6839778773956498E-3</v>
      </c>
      <c r="M50" s="382">
        <f t="shared" si="15"/>
        <v>6.1719436994024345E-3</v>
      </c>
      <c r="N50" s="382">
        <f t="shared" si="15"/>
        <v>6.8594946477056312E-3</v>
      </c>
    </row>
    <row r="51" spans="1:14" hidden="1" x14ac:dyDescent="0.2">
      <c r="A51" s="356" t="s">
        <v>141</v>
      </c>
      <c r="B51" s="357">
        <v>3898</v>
      </c>
      <c r="C51" s="357">
        <v>9323</v>
      </c>
      <c r="D51" s="357">
        <v>9344</v>
      </c>
      <c r="E51" s="357">
        <v>11191</v>
      </c>
      <c r="F51" s="357">
        <v>14160</v>
      </c>
      <c r="G51" s="357">
        <v>29396</v>
      </c>
      <c r="H51" s="357">
        <v>980978</v>
      </c>
      <c r="I51" s="356"/>
      <c r="J51" s="356"/>
      <c r="K51" s="356"/>
      <c r="L51" s="356"/>
      <c r="M51" s="356"/>
      <c r="N51" s="356"/>
    </row>
    <row r="52" spans="1:14" hidden="1" x14ac:dyDescent="0.2">
      <c r="A52" s="358" t="s">
        <v>142</v>
      </c>
      <c r="B52" s="357" t="s">
        <v>72</v>
      </c>
      <c r="C52" s="357">
        <v>4620</v>
      </c>
      <c r="D52" s="357">
        <v>4620</v>
      </c>
      <c r="E52" s="357">
        <v>4620</v>
      </c>
      <c r="F52" s="357">
        <v>4620</v>
      </c>
      <c r="G52" s="357">
        <v>17239</v>
      </c>
      <c r="H52" s="357">
        <v>943718</v>
      </c>
      <c r="I52" s="357"/>
      <c r="J52" s="357"/>
      <c r="K52" s="357"/>
      <c r="L52" s="357"/>
      <c r="M52" s="357"/>
      <c r="N52" s="357"/>
    </row>
    <row r="53" spans="1:14" hidden="1" x14ac:dyDescent="0.2">
      <c r="A53" s="358" t="s">
        <v>143</v>
      </c>
      <c r="B53" s="357" t="s">
        <v>72</v>
      </c>
      <c r="C53" s="357">
        <v>4340</v>
      </c>
      <c r="D53" s="357">
        <v>4362</v>
      </c>
      <c r="E53" s="357">
        <v>5988</v>
      </c>
      <c r="F53" s="357">
        <v>7528</v>
      </c>
      <c r="G53" s="357">
        <v>10053</v>
      </c>
      <c r="H53" s="357">
        <v>21092</v>
      </c>
      <c r="I53" s="357"/>
      <c r="J53" s="357"/>
      <c r="K53" s="357"/>
      <c r="L53" s="357"/>
      <c r="M53" s="357"/>
      <c r="N53" s="357"/>
    </row>
    <row r="54" spans="1:14" hidden="1" x14ac:dyDescent="0.2">
      <c r="A54" s="358" t="s">
        <v>144</v>
      </c>
      <c r="B54" s="357" t="s">
        <v>72</v>
      </c>
      <c r="C54" s="357" t="s">
        <v>72</v>
      </c>
      <c r="D54" s="357" t="s">
        <v>72</v>
      </c>
      <c r="E54" s="357" t="s">
        <v>72</v>
      </c>
      <c r="F54" s="357" t="s">
        <v>72</v>
      </c>
      <c r="G54" s="357">
        <v>91</v>
      </c>
      <c r="H54" s="357">
        <v>1796</v>
      </c>
      <c r="I54" s="357"/>
      <c r="J54" s="357"/>
      <c r="K54" s="357"/>
      <c r="L54" s="357"/>
      <c r="M54" s="357"/>
      <c r="N54" s="357"/>
    </row>
    <row r="55" spans="1:14" hidden="1" x14ac:dyDescent="0.2">
      <c r="A55" s="358" t="s">
        <v>145</v>
      </c>
      <c r="B55" s="357">
        <v>3898</v>
      </c>
      <c r="C55" s="357">
        <v>363</v>
      </c>
      <c r="D55" s="357">
        <v>363</v>
      </c>
      <c r="E55" s="357">
        <v>583</v>
      </c>
      <c r="F55" s="357">
        <v>2013</v>
      </c>
      <c r="G55" s="357">
        <v>2013</v>
      </c>
      <c r="H55" s="357">
        <v>14372</v>
      </c>
      <c r="I55" s="357"/>
      <c r="J55" s="357"/>
      <c r="K55" s="357"/>
      <c r="L55" s="357"/>
      <c r="M55" s="357"/>
      <c r="N55" s="357"/>
    </row>
    <row r="56" spans="1:14" hidden="1" x14ac:dyDescent="0.2">
      <c r="A56" s="356" t="s">
        <v>146</v>
      </c>
      <c r="B56" s="357">
        <v>561</v>
      </c>
      <c r="C56" s="357">
        <v>5488</v>
      </c>
      <c r="D56" s="357">
        <v>5154</v>
      </c>
      <c r="E56" s="357">
        <v>6615</v>
      </c>
      <c r="F56" s="357">
        <v>8708</v>
      </c>
      <c r="G56" s="357">
        <v>16438</v>
      </c>
      <c r="H56" s="357">
        <v>676924</v>
      </c>
      <c r="I56" s="357"/>
      <c r="J56" s="357"/>
      <c r="K56" s="357"/>
      <c r="L56" s="357"/>
      <c r="M56" s="357"/>
      <c r="N56" s="357"/>
    </row>
    <row r="57" spans="1:14" hidden="1" x14ac:dyDescent="0.2">
      <c r="A57" s="358" t="s">
        <v>147</v>
      </c>
      <c r="B57" s="357">
        <v>-3337</v>
      </c>
      <c r="C57" s="357">
        <v>-3835</v>
      </c>
      <c r="D57" s="357">
        <v>-4190</v>
      </c>
      <c r="E57" s="357">
        <v>-4576</v>
      </c>
      <c r="F57" s="357">
        <v>-5452</v>
      </c>
      <c r="G57" s="357">
        <v>-12958</v>
      </c>
      <c r="H57" s="357">
        <v>-304054</v>
      </c>
      <c r="I57" s="357"/>
      <c r="J57" s="357"/>
      <c r="K57" s="357"/>
      <c r="L57" s="357"/>
      <c r="M57" s="357"/>
      <c r="N57" s="357"/>
    </row>
    <row r="58" spans="1:14" hidden="1" x14ac:dyDescent="0.2">
      <c r="A58" s="356" t="s">
        <v>148</v>
      </c>
      <c r="B58" s="357" t="s">
        <v>72</v>
      </c>
      <c r="C58" s="357" t="s">
        <v>72</v>
      </c>
      <c r="D58" s="357" t="s">
        <v>72</v>
      </c>
      <c r="E58" s="357" t="s">
        <v>72</v>
      </c>
      <c r="F58" s="357" t="s">
        <v>72</v>
      </c>
      <c r="G58" s="357" t="s">
        <v>72</v>
      </c>
      <c r="H58" s="357" t="s">
        <v>72</v>
      </c>
      <c r="I58" s="357"/>
      <c r="J58" s="357"/>
      <c r="K58" s="357"/>
      <c r="L58" s="357"/>
      <c r="M58" s="357"/>
      <c r="N58" s="357"/>
    </row>
    <row r="59" spans="1:14" hidden="1" x14ac:dyDescent="0.2">
      <c r="A59" s="356" t="s">
        <v>149</v>
      </c>
      <c r="B59" s="357">
        <v>1135</v>
      </c>
      <c r="C59" s="357">
        <v>40843</v>
      </c>
      <c r="D59" s="357">
        <v>40438</v>
      </c>
      <c r="E59" s="357">
        <v>41956</v>
      </c>
      <c r="F59" s="357">
        <v>41920</v>
      </c>
      <c r="G59" s="357">
        <v>155606</v>
      </c>
      <c r="H59" s="357">
        <v>172142</v>
      </c>
      <c r="I59" s="357"/>
      <c r="J59" s="357"/>
      <c r="K59" s="357"/>
      <c r="L59" s="357"/>
      <c r="M59" s="357"/>
      <c r="N59" s="357"/>
    </row>
    <row r="60" spans="1:14" hidden="1" x14ac:dyDescent="0.2">
      <c r="A60" s="358" t="s">
        <v>150</v>
      </c>
      <c r="B60" s="357">
        <v>4188</v>
      </c>
      <c r="C60" s="357">
        <v>44482</v>
      </c>
      <c r="D60" s="357">
        <v>44482</v>
      </c>
      <c r="E60" s="357">
        <v>46416</v>
      </c>
      <c r="F60" s="357">
        <v>46876</v>
      </c>
      <c r="G60" s="357">
        <v>162788</v>
      </c>
      <c r="H60" s="357">
        <v>183894</v>
      </c>
      <c r="I60" s="360"/>
      <c r="J60" s="360"/>
      <c r="K60" s="360"/>
      <c r="L60" s="360"/>
      <c r="M60" s="360"/>
      <c r="N60" s="360"/>
    </row>
    <row r="61" spans="1:14" hidden="1" x14ac:dyDescent="0.2">
      <c r="A61" s="358" t="s">
        <v>151</v>
      </c>
      <c r="B61" s="357">
        <v>-3052</v>
      </c>
      <c r="C61" s="357">
        <v>-3639</v>
      </c>
      <c r="D61" s="357">
        <v>-4044</v>
      </c>
      <c r="E61" s="357">
        <v>-4459</v>
      </c>
      <c r="F61" s="357">
        <v>-4956</v>
      </c>
      <c r="G61" s="357">
        <v>-7181</v>
      </c>
      <c r="H61" s="357">
        <v>-11752</v>
      </c>
      <c r="I61" s="356"/>
      <c r="J61" s="356"/>
      <c r="K61" s="356"/>
      <c r="L61" s="356"/>
      <c r="M61" s="356"/>
      <c r="N61" s="356"/>
    </row>
    <row r="62" spans="1:14" hidden="1" x14ac:dyDescent="0.2">
      <c r="A62" s="356" t="s">
        <v>152</v>
      </c>
      <c r="B62" s="357" t="s">
        <v>72</v>
      </c>
      <c r="C62" s="357" t="s">
        <v>72</v>
      </c>
      <c r="D62" s="357" t="s">
        <v>72</v>
      </c>
      <c r="E62" s="357" t="s">
        <v>72</v>
      </c>
      <c r="F62" s="357" t="s">
        <v>72</v>
      </c>
      <c r="G62" s="357" t="s">
        <v>72</v>
      </c>
      <c r="H62" s="357" t="s">
        <v>72</v>
      </c>
      <c r="I62" s="357"/>
      <c r="J62" s="357"/>
      <c r="K62" s="357"/>
      <c r="L62" s="357"/>
      <c r="M62" s="357"/>
      <c r="N62" s="357"/>
    </row>
    <row r="63" spans="1:14" hidden="1" x14ac:dyDescent="0.2">
      <c r="A63" s="356" t="s">
        <v>153</v>
      </c>
      <c r="B63" s="357">
        <v>66086</v>
      </c>
      <c r="C63" s="357">
        <v>75677</v>
      </c>
      <c r="D63" s="357">
        <v>84028</v>
      </c>
      <c r="E63" s="357">
        <v>105270</v>
      </c>
      <c r="F63" s="357">
        <v>116400</v>
      </c>
      <c r="G63" s="357">
        <v>136777</v>
      </c>
      <c r="H63" s="357">
        <v>170162</v>
      </c>
      <c r="I63" s="357"/>
      <c r="J63" s="357"/>
      <c r="K63" s="357"/>
      <c r="L63" s="357"/>
      <c r="M63" s="357"/>
      <c r="N63" s="357"/>
    </row>
    <row r="64" spans="1:14" hidden="1" x14ac:dyDescent="0.2">
      <c r="A64" s="356" t="s">
        <v>154</v>
      </c>
      <c r="B64" s="357">
        <v>233904</v>
      </c>
      <c r="C64" s="357">
        <v>239891</v>
      </c>
      <c r="D64" s="357">
        <v>222781</v>
      </c>
      <c r="E64" s="357">
        <v>266693</v>
      </c>
      <c r="F64" s="357">
        <v>260550</v>
      </c>
      <c r="G64" s="357">
        <v>255316</v>
      </c>
      <c r="H64" s="357">
        <v>177772</v>
      </c>
      <c r="I64" s="357"/>
      <c r="J64" s="357"/>
      <c r="K64" s="357"/>
      <c r="L64" s="357"/>
      <c r="M64" s="357"/>
      <c r="N64" s="357"/>
    </row>
    <row r="65" spans="1:14" hidden="1" x14ac:dyDescent="0.2">
      <c r="A65" s="358" t="s">
        <v>155</v>
      </c>
      <c r="B65" s="357">
        <v>233904</v>
      </c>
      <c r="C65" s="357">
        <v>239891</v>
      </c>
      <c r="D65" s="357">
        <v>222781</v>
      </c>
      <c r="E65" s="357">
        <v>266693</v>
      </c>
      <c r="F65" s="357">
        <v>257566</v>
      </c>
      <c r="G65" s="357">
        <v>254448</v>
      </c>
      <c r="H65" s="357">
        <v>177767</v>
      </c>
      <c r="I65" s="357"/>
      <c r="J65" s="357"/>
      <c r="K65" s="357"/>
      <c r="L65" s="357"/>
      <c r="M65" s="357"/>
      <c r="N65" s="357"/>
    </row>
    <row r="66" spans="1:14" hidden="1" x14ac:dyDescent="0.2">
      <c r="A66" s="358" t="s">
        <v>156</v>
      </c>
      <c r="B66" s="357" t="s">
        <v>72</v>
      </c>
      <c r="C66" s="357" t="s">
        <v>72</v>
      </c>
      <c r="D66" s="357" t="s">
        <v>72</v>
      </c>
      <c r="E66" s="357" t="s">
        <v>72</v>
      </c>
      <c r="F66" s="357">
        <v>2985</v>
      </c>
      <c r="G66" s="357">
        <v>868</v>
      </c>
      <c r="H66" s="357">
        <v>6</v>
      </c>
      <c r="I66" s="357"/>
      <c r="J66" s="357"/>
      <c r="K66" s="357"/>
      <c r="L66" s="357"/>
      <c r="M66" s="357"/>
      <c r="N66" s="357"/>
    </row>
    <row r="67" spans="1:14" s="55" customFormat="1" hidden="1" x14ac:dyDescent="0.2">
      <c r="A67" s="356" t="s">
        <v>157</v>
      </c>
      <c r="B67" s="357">
        <v>4710400</v>
      </c>
      <c r="C67" s="357">
        <v>3871228</v>
      </c>
      <c r="D67" s="357">
        <v>5167669</v>
      </c>
      <c r="E67" s="357">
        <v>6593773</v>
      </c>
      <c r="F67" s="357">
        <v>5387578</v>
      </c>
      <c r="G67" s="357">
        <v>10786069</v>
      </c>
      <c r="H67" s="357">
        <v>10523797</v>
      </c>
      <c r="I67" s="357"/>
      <c r="J67" s="357"/>
      <c r="K67" s="357"/>
      <c r="L67" s="357"/>
      <c r="M67" s="357"/>
      <c r="N67" s="357"/>
    </row>
    <row r="68" spans="1:14" hidden="1" x14ac:dyDescent="0.2">
      <c r="A68" s="360"/>
      <c r="B68" s="360"/>
      <c r="C68" s="360"/>
      <c r="D68" s="360"/>
      <c r="E68" s="383">
        <f>E70-D70</f>
        <v>581630</v>
      </c>
      <c r="F68" s="360"/>
      <c r="G68" s="360"/>
      <c r="H68" s="360"/>
      <c r="I68" s="357"/>
      <c r="J68" s="357"/>
      <c r="K68" s="357"/>
      <c r="L68" s="357"/>
      <c r="M68" s="357"/>
      <c r="N68" s="357"/>
    </row>
    <row r="69" spans="1:14" ht="12" hidden="1" customHeight="1" thickBot="1" x14ac:dyDescent="0.25">
      <c r="A69" s="356" t="s">
        <v>158</v>
      </c>
      <c r="B69" s="356"/>
      <c r="C69" s="356"/>
      <c r="D69" s="356"/>
      <c r="E69" s="356"/>
      <c r="F69" s="356"/>
      <c r="G69" s="356"/>
      <c r="H69" s="356"/>
      <c r="I69" s="357"/>
      <c r="J69" s="357"/>
      <c r="K69" s="357"/>
      <c r="L69" s="357"/>
      <c r="M69" s="357"/>
      <c r="N69" s="357"/>
    </row>
    <row r="70" spans="1:14" s="76" customFormat="1" x14ac:dyDescent="0.2">
      <c r="A70" s="356" t="s">
        <v>82</v>
      </c>
      <c r="B70" s="357">
        <v>1427548</v>
      </c>
      <c r="C70" s="357">
        <v>1499029</v>
      </c>
      <c r="D70" s="357">
        <v>705892</v>
      </c>
      <c r="E70" s="357">
        <v>1287522</v>
      </c>
      <c r="F70" s="357">
        <v>1214790</v>
      </c>
      <c r="G70" s="357">
        <v>2335743</v>
      </c>
      <c r="H70" s="357">
        <v>2307356</v>
      </c>
      <c r="I70" s="357">
        <f>I87*'Revenue breakdown'!G3</f>
        <v>3203475.5080002951</v>
      </c>
      <c r="J70" s="357">
        <f>J87*'Revenue breakdown'!H3</f>
        <v>3229604.8438012907</v>
      </c>
      <c r="K70" s="357">
        <f>K87*'Revenue breakdown'!I3</f>
        <v>3721366.8159476989</v>
      </c>
      <c r="L70" s="357">
        <f>L87*'Revenue breakdown'!J3</f>
        <v>4083414.3315517628</v>
      </c>
      <c r="M70" s="357">
        <f>M87*'Revenue breakdown'!K3</f>
        <v>4376167.330959294</v>
      </c>
      <c r="N70" s="357">
        <f>N87*'Revenue breakdown'!L3</f>
        <v>4578795.8599305218</v>
      </c>
    </row>
    <row r="71" spans="1:14" s="76" customFormat="1" hidden="1" x14ac:dyDescent="0.2">
      <c r="A71" s="356" t="s">
        <v>626</v>
      </c>
      <c r="B71" s="357"/>
      <c r="C71" s="357"/>
      <c r="D71" s="357">
        <f>D70-C70</f>
        <v>-793137</v>
      </c>
      <c r="E71" s="357">
        <f t="shared" ref="E71:I71" si="16">E70-D70</f>
        <v>581630</v>
      </c>
      <c r="F71" s="357">
        <f t="shared" si="16"/>
        <v>-72732</v>
      </c>
      <c r="G71" s="357">
        <f t="shared" si="16"/>
        <v>1120953</v>
      </c>
      <c r="H71" s="357">
        <f t="shared" si="16"/>
        <v>-28387</v>
      </c>
      <c r="I71" s="357">
        <f t="shared" si="16"/>
        <v>896119.50800029514</v>
      </c>
      <c r="J71" s="357">
        <f>J70-I70</f>
        <v>26129.335800995585</v>
      </c>
      <c r="K71" s="357">
        <f t="shared" ref="K71:N71" si="17">K70-J70</f>
        <v>491761.97214640817</v>
      </c>
      <c r="L71" s="357">
        <f t="shared" si="17"/>
        <v>362047.51560406387</v>
      </c>
      <c r="M71" s="357">
        <f t="shared" si="17"/>
        <v>292752.99940753123</v>
      </c>
      <c r="N71" s="357">
        <f t="shared" si="17"/>
        <v>202628.52897122782</v>
      </c>
    </row>
    <row r="72" spans="1:14" hidden="1" x14ac:dyDescent="0.2">
      <c r="A72" s="356" t="s">
        <v>159</v>
      </c>
      <c r="B72" s="357" t="s">
        <v>72</v>
      </c>
      <c r="C72" s="357" t="s">
        <v>72</v>
      </c>
      <c r="D72" s="357" t="s">
        <v>72</v>
      </c>
      <c r="E72" s="357" t="s">
        <v>72</v>
      </c>
      <c r="F72" s="357" t="s">
        <v>72</v>
      </c>
      <c r="G72" s="357" t="s">
        <v>72</v>
      </c>
      <c r="H72" s="357" t="s">
        <v>72</v>
      </c>
      <c r="I72" s="357"/>
      <c r="J72" s="357"/>
      <c r="K72" s="357"/>
      <c r="L72" s="357"/>
      <c r="M72" s="357"/>
      <c r="N72" s="357"/>
    </row>
    <row r="73" spans="1:14" x14ac:dyDescent="0.2">
      <c r="A73" s="381" t="s">
        <v>622</v>
      </c>
      <c r="B73" s="360"/>
      <c r="C73" s="359">
        <f>(C57-B57)/B57</f>
        <v>0.1492358405753671</v>
      </c>
      <c r="D73" s="359">
        <f>D86</f>
        <v>-0.52910050439317713</v>
      </c>
      <c r="E73" s="359">
        <f t="shared" ref="E73:I73" si="18">E86</f>
        <v>0.82396457248417609</v>
      </c>
      <c r="F73" s="359">
        <f t="shared" si="18"/>
        <v>-5.6489908521951467E-2</v>
      </c>
      <c r="G73" s="359">
        <f t="shared" si="18"/>
        <v>0.92275455016916508</v>
      </c>
      <c r="H73" s="359">
        <f t="shared" si="18"/>
        <v>-1.2153306249874237E-2</v>
      </c>
      <c r="I73" s="359">
        <f t="shared" si="18"/>
        <v>0.38837505265780187</v>
      </c>
      <c r="J73" s="359">
        <f t="shared" ref="J73:M73" si="19">J86</f>
        <v>8.1565586300693452E-3</v>
      </c>
      <c r="K73" s="359">
        <f t="shared" si="19"/>
        <v>0.15226691683048052</v>
      </c>
      <c r="L73" s="359">
        <f t="shared" si="19"/>
        <v>9.7288854743512648E-2</v>
      </c>
      <c r="M73" s="359">
        <f t="shared" si="19"/>
        <v>7.169318997229468E-2</v>
      </c>
      <c r="N73" s="359">
        <f t="shared" ref="N73" si="20">N86</f>
        <v>4.6302737908975225E-2</v>
      </c>
    </row>
    <row r="74" spans="1:14" x14ac:dyDescent="0.2">
      <c r="A74" s="381" t="s">
        <v>613</v>
      </c>
      <c r="B74" s="363"/>
      <c r="C74" s="363" t="e">
        <f>C57/'FPT Digital Retail JSC | Income'!D10</f>
        <v>#VALUE!</v>
      </c>
      <c r="D74" s="363">
        <f>D87</f>
        <v>4.6141753334594908E-2</v>
      </c>
      <c r="E74" s="363">
        <f t="shared" ref="E74:I74" si="21">E87</f>
        <v>7.7403216071218153E-2</v>
      </c>
      <c r="F74" s="363">
        <f t="shared" si="21"/>
        <v>8.2856247796512433E-2</v>
      </c>
      <c r="G74" s="363">
        <f t="shared" si="21"/>
        <v>0.10383405421329693</v>
      </c>
      <c r="H74" s="363">
        <f t="shared" si="21"/>
        <v>7.6489134168855652E-2</v>
      </c>
      <c r="I74" s="363">
        <f t="shared" si="21"/>
        <v>8.3458204181645915E-2</v>
      </c>
      <c r="J74" s="363">
        <f t="shared" ref="J74:M74" si="22">J87</f>
        <v>7.8363768294354E-2</v>
      </c>
      <c r="K74" s="363">
        <f t="shared" si="22"/>
        <v>8.3734104120980521E-2</v>
      </c>
      <c r="L74" s="363">
        <f t="shared" si="22"/>
        <v>8.478925212927424E-2</v>
      </c>
      <c r="M74" s="363">
        <f t="shared" si="22"/>
        <v>8.5111419518067888E-2</v>
      </c>
      <c r="N74" s="363">
        <f t="shared" ref="N74" si="23">N87</f>
        <v>8.1990980402196365E-2</v>
      </c>
    </row>
    <row r="75" spans="1:14" s="76" customFormat="1" x14ac:dyDescent="0.2">
      <c r="A75" s="356" t="s">
        <v>160</v>
      </c>
      <c r="B75" s="357">
        <v>198796</v>
      </c>
      <c r="C75" s="357">
        <v>247307</v>
      </c>
      <c r="D75" s="357">
        <v>170569</v>
      </c>
      <c r="E75" s="357">
        <v>183299</v>
      </c>
      <c r="F75" s="357">
        <v>238744</v>
      </c>
      <c r="G75" s="357">
        <v>512496</v>
      </c>
      <c r="H75" s="357">
        <v>653063</v>
      </c>
      <c r="I75" s="357">
        <f>I76*'Revenue breakdown'!G3</f>
        <v>636292.61850230535</v>
      </c>
      <c r="J75" s="357">
        <f>J76*'Revenue breakdown'!H3</f>
        <v>727921.5508869444</v>
      </c>
      <c r="K75" s="357">
        <f>K76*'Revenue breakdown'!I3</f>
        <v>844010.90725356736</v>
      </c>
      <c r="L75" s="357">
        <f>L76*'Revenue breakdown'!J3</f>
        <v>940674.04138363386</v>
      </c>
      <c r="M75" s="357">
        <f>M76*'Revenue breakdown'!K3</f>
        <v>970874.31803562283</v>
      </c>
      <c r="N75" s="357">
        <f>N76*'Revenue breakdown'!L3</f>
        <v>1023587.5109558083</v>
      </c>
    </row>
    <row r="76" spans="1:14" x14ac:dyDescent="0.2">
      <c r="A76" s="354" t="s">
        <v>648</v>
      </c>
      <c r="B76" s="357"/>
      <c r="C76" s="357"/>
      <c r="D76" s="359">
        <f>D75/'Revenue breakdown'!B3</f>
        <v>1.1149513983057633E-2</v>
      </c>
      <c r="E76" s="359">
        <f>E75/'Revenue breakdown'!C3</f>
        <v>1.101956479395165E-2</v>
      </c>
      <c r="F76" s="359">
        <f>F75/'Revenue breakdown'!D3</f>
        <v>1.6283828500342087E-2</v>
      </c>
      <c r="G76" s="359">
        <f>G75/'Revenue breakdown'!E3</f>
        <v>2.2782702312753509E-2</v>
      </c>
      <c r="H76" s="359">
        <f>H75/'Revenue breakdown'!F3</f>
        <v>2.1649118483543665E-2</v>
      </c>
      <c r="I76" s="359">
        <f>AVERAGE(D76:H76)</f>
        <v>1.6576945614729711E-2</v>
      </c>
      <c r="J76" s="359">
        <f t="shared" ref="J76:N76" si="24">AVERAGE(E76:I76)</f>
        <v>1.7662431941064125E-2</v>
      </c>
      <c r="K76" s="359">
        <f t="shared" si="24"/>
        <v>1.8991005370486619E-2</v>
      </c>
      <c r="L76" s="359">
        <f t="shared" si="24"/>
        <v>1.9532440744515524E-2</v>
      </c>
      <c r="M76" s="359">
        <f t="shared" si="24"/>
        <v>1.8882388430867932E-2</v>
      </c>
      <c r="N76" s="359">
        <f t="shared" si="24"/>
        <v>1.8329042420332779E-2</v>
      </c>
    </row>
    <row r="77" spans="1:14" x14ac:dyDescent="0.2">
      <c r="A77" s="356" t="s">
        <v>161</v>
      </c>
      <c r="B77" s="357">
        <v>0</v>
      </c>
      <c r="C77" s="357">
        <v>0</v>
      </c>
      <c r="D77" s="357">
        <v>2947272</v>
      </c>
      <c r="E77" s="357">
        <v>3698036</v>
      </c>
      <c r="F77" s="357">
        <v>2485948</v>
      </c>
      <c r="G77" s="357">
        <v>6047406</v>
      </c>
      <c r="H77" s="357">
        <v>5363331</v>
      </c>
      <c r="I77" s="357"/>
      <c r="J77" s="357"/>
      <c r="K77" s="357"/>
      <c r="L77" s="357"/>
      <c r="M77" s="357"/>
      <c r="N77" s="357"/>
    </row>
    <row r="78" spans="1:14" x14ac:dyDescent="0.2">
      <c r="A78" s="356" t="s">
        <v>162</v>
      </c>
      <c r="B78" s="357">
        <v>2434624</v>
      </c>
      <c r="C78" s="357">
        <v>1173003</v>
      </c>
      <c r="D78" s="357" t="s">
        <v>72</v>
      </c>
      <c r="E78" s="357" t="s">
        <v>72</v>
      </c>
      <c r="F78" s="357" t="s">
        <v>72</v>
      </c>
      <c r="G78" s="357" t="s">
        <v>72</v>
      </c>
      <c r="H78" s="357" t="s">
        <v>72</v>
      </c>
      <c r="I78" s="360"/>
      <c r="J78" s="360"/>
      <c r="K78" s="360"/>
      <c r="L78" s="360"/>
      <c r="M78" s="360"/>
      <c r="N78" s="360"/>
    </row>
    <row r="79" spans="1:14" s="76" customFormat="1" x14ac:dyDescent="0.2">
      <c r="A79" s="356" t="s">
        <v>163</v>
      </c>
      <c r="B79" s="357">
        <v>134201</v>
      </c>
      <c r="C79" s="357">
        <v>155435</v>
      </c>
      <c r="D79" s="357">
        <v>185169</v>
      </c>
      <c r="E79" s="357">
        <v>139274</v>
      </c>
      <c r="F79" s="357">
        <v>222966</v>
      </c>
      <c r="G79" s="357">
        <v>211062</v>
      </c>
      <c r="H79" s="357">
        <v>150624</v>
      </c>
      <c r="I79" s="357">
        <f>I80*'Revenue breakdown'!G3</f>
        <v>384304.39480842149</v>
      </c>
      <c r="J79" s="357">
        <f>J80*'Revenue breakdown'!H3</f>
        <v>395384.43730392435</v>
      </c>
      <c r="K79" s="357">
        <f>K80*'Revenue breakdown'!I3</f>
        <v>437220.231547123</v>
      </c>
      <c r="L79" s="357">
        <f>L80*'Revenue breakdown'!J3</f>
        <v>422064.95363177359</v>
      </c>
      <c r="M79" s="357">
        <f>M80*'Revenue breakdown'!K3</f>
        <v>444249.13479233312</v>
      </c>
      <c r="N79" s="357">
        <f>N80*'Revenue breakdown'!L3</f>
        <v>523241.97190792212</v>
      </c>
    </row>
    <row r="80" spans="1:14" ht="16" thickBot="1" x14ac:dyDescent="0.25">
      <c r="A80" s="354" t="s">
        <v>648</v>
      </c>
      <c r="B80" s="357"/>
      <c r="C80" s="357"/>
      <c r="D80" s="359">
        <f>D79/'Revenue breakdown'!B3</f>
        <v>1.2103866205047805E-2</v>
      </c>
      <c r="E80" s="359">
        <f>E79/'Revenue breakdown'!C3</f>
        <v>8.3728709218971308E-3</v>
      </c>
      <c r="F80" s="359">
        <f>F79/'Revenue breakdown'!D3</f>
        <v>1.5207670581908965E-2</v>
      </c>
      <c r="G80" s="359">
        <f>G79/'Revenue breakdown'!E3</f>
        <v>9.3826346264836817E-3</v>
      </c>
      <c r="H80" s="359">
        <f>H79/'Revenue breakdown'!F3</f>
        <v>4.9932040591264262E-3</v>
      </c>
      <c r="I80" s="359">
        <f>AVERAGE(D80:H80)</f>
        <v>1.0012049278892802E-2</v>
      </c>
      <c r="J80" s="359">
        <f t="shared" ref="J80:N80" si="25">AVERAGE(E80:I80)</f>
        <v>9.5936858936618002E-3</v>
      </c>
      <c r="K80" s="359">
        <f t="shared" si="25"/>
        <v>9.8378488880147361E-3</v>
      </c>
      <c r="L80" s="359">
        <f t="shared" si="25"/>
        <v>8.763884549235889E-3</v>
      </c>
      <c r="M80" s="359">
        <f t="shared" si="25"/>
        <v>8.6401345337863318E-3</v>
      </c>
      <c r="N80" s="359">
        <f t="shared" si="25"/>
        <v>9.369520628718311E-3</v>
      </c>
    </row>
    <row r="81" spans="1:15" ht="16" hidden="1" thickBot="1" x14ac:dyDescent="0.25">
      <c r="A81" s="358" t="s">
        <v>164</v>
      </c>
      <c r="B81" s="357">
        <v>34948</v>
      </c>
      <c r="C81" s="357">
        <v>13232</v>
      </c>
      <c r="D81" s="357">
        <v>13918</v>
      </c>
      <c r="E81" s="357">
        <v>19464</v>
      </c>
      <c r="F81" s="357">
        <v>28401</v>
      </c>
      <c r="G81" s="357">
        <v>54212</v>
      </c>
      <c r="H81" s="357">
        <v>35297</v>
      </c>
      <c r="I81" s="357"/>
      <c r="J81" s="357"/>
      <c r="K81" s="357"/>
      <c r="L81" s="357"/>
      <c r="M81" s="357"/>
      <c r="N81" s="357"/>
    </row>
    <row r="82" spans="1:15" ht="16" hidden="1" thickBot="1" x14ac:dyDescent="0.25">
      <c r="A82" s="358" t="s">
        <v>165</v>
      </c>
      <c r="B82" s="357">
        <v>21509</v>
      </c>
      <c r="C82" s="357">
        <v>26435</v>
      </c>
      <c r="D82" s="357">
        <v>24450</v>
      </c>
      <c r="E82" s="357">
        <v>9108</v>
      </c>
      <c r="F82" s="357">
        <v>31620</v>
      </c>
      <c r="G82" s="357">
        <v>71324</v>
      </c>
      <c r="H82" s="357">
        <v>3120</v>
      </c>
      <c r="I82" s="360"/>
      <c r="J82" s="360"/>
      <c r="K82" s="360"/>
      <c r="L82" s="360"/>
      <c r="M82" s="360"/>
      <c r="N82" s="360"/>
    </row>
    <row r="83" spans="1:15" ht="16" hidden="1" thickBot="1" x14ac:dyDescent="0.25">
      <c r="A83" s="358" t="s">
        <v>166</v>
      </c>
      <c r="B83" s="357">
        <v>77745</v>
      </c>
      <c r="C83" s="357">
        <v>115767</v>
      </c>
      <c r="D83" s="357">
        <v>146802</v>
      </c>
      <c r="E83" s="357">
        <v>110702</v>
      </c>
      <c r="F83" s="357">
        <v>162945</v>
      </c>
      <c r="G83" s="357">
        <v>85527</v>
      </c>
      <c r="H83" s="357">
        <v>112206</v>
      </c>
      <c r="I83" s="357"/>
      <c r="J83" s="357"/>
      <c r="K83" s="357"/>
      <c r="L83" s="357"/>
      <c r="M83" s="357"/>
      <c r="N83" s="357"/>
    </row>
    <row r="84" spans="1:15" ht="16" hidden="1" thickBot="1" x14ac:dyDescent="0.25">
      <c r="A84" s="356" t="s">
        <v>167</v>
      </c>
      <c r="B84" s="357">
        <v>4195169</v>
      </c>
      <c r="C84" s="357">
        <v>3074774</v>
      </c>
      <c r="D84" s="357">
        <v>4008902</v>
      </c>
      <c r="E84" s="357">
        <v>5308130</v>
      </c>
      <c r="F84" s="357">
        <v>4162448</v>
      </c>
      <c r="G84" s="357">
        <v>9106708</v>
      </c>
      <c r="H84" s="357">
        <v>8474375</v>
      </c>
      <c r="I84" s="357"/>
      <c r="J84" s="357"/>
      <c r="K84" s="357"/>
      <c r="L84" s="357"/>
      <c r="M84" s="357"/>
      <c r="N84" s="357"/>
    </row>
    <row r="85" spans="1:15" s="55" customFormat="1" ht="30" x14ac:dyDescent="0.2">
      <c r="A85" s="360" t="s">
        <v>912</v>
      </c>
      <c r="B85" s="357"/>
      <c r="C85" s="357">
        <f t="shared" ref="C85:N85" si="26">C70+C75+C79</f>
        <v>1901771</v>
      </c>
      <c r="D85" s="357">
        <f t="shared" si="26"/>
        <v>1061630</v>
      </c>
      <c r="E85" s="357">
        <f t="shared" si="26"/>
        <v>1610095</v>
      </c>
      <c r="F85" s="357">
        <f t="shared" si="26"/>
        <v>1676500</v>
      </c>
      <c r="G85" s="357">
        <f t="shared" si="26"/>
        <v>3059301</v>
      </c>
      <c r="H85" s="357">
        <f t="shared" si="26"/>
        <v>3111043</v>
      </c>
      <c r="I85" s="357">
        <f t="shared" si="26"/>
        <v>4224072.5213110223</v>
      </c>
      <c r="J85" s="357">
        <f t="shared" si="26"/>
        <v>4352910.8319921596</v>
      </c>
      <c r="K85" s="357">
        <f t="shared" si="26"/>
        <v>5002597.9547483893</v>
      </c>
      <c r="L85" s="357">
        <f t="shared" si="26"/>
        <v>5446153.3265671702</v>
      </c>
      <c r="M85" s="357">
        <f t="shared" si="26"/>
        <v>5791290.7837872505</v>
      </c>
      <c r="N85" s="357">
        <f t="shared" si="26"/>
        <v>6125625.3427942526</v>
      </c>
      <c r="O85" s="54"/>
    </row>
    <row r="86" spans="1:15" hidden="1" x14ac:dyDescent="0.2">
      <c r="A86" s="381" t="s">
        <v>622</v>
      </c>
      <c r="B86" s="360"/>
      <c r="C86" s="359">
        <f t="shared" ref="C86:N86" si="27">(C70-B70)/B70</f>
        <v>5.007257199057405E-2</v>
      </c>
      <c r="D86" s="359">
        <f t="shared" si="27"/>
        <v>-0.52910050439317713</v>
      </c>
      <c r="E86" s="359">
        <f t="shared" si="27"/>
        <v>0.82396457248417609</v>
      </c>
      <c r="F86" s="359">
        <f t="shared" si="27"/>
        <v>-5.6489908521951467E-2</v>
      </c>
      <c r="G86" s="359">
        <f t="shared" si="27"/>
        <v>0.92275455016916508</v>
      </c>
      <c r="H86" s="359">
        <f t="shared" si="27"/>
        <v>-1.2153306249874237E-2</v>
      </c>
      <c r="I86" s="359">
        <f t="shared" si="27"/>
        <v>0.38837505265780187</v>
      </c>
      <c r="J86" s="359">
        <f t="shared" si="27"/>
        <v>8.1565586300693452E-3</v>
      </c>
      <c r="K86" s="359">
        <f t="shared" si="27"/>
        <v>0.15226691683048052</v>
      </c>
      <c r="L86" s="359">
        <f t="shared" si="27"/>
        <v>9.7288854743512648E-2</v>
      </c>
      <c r="M86" s="359">
        <f t="shared" si="27"/>
        <v>7.169318997229468E-2</v>
      </c>
      <c r="N86" s="359">
        <f t="shared" si="27"/>
        <v>4.6302737908975225E-2</v>
      </c>
    </row>
    <row r="87" spans="1:15" hidden="1" x14ac:dyDescent="0.2">
      <c r="A87" s="381" t="s">
        <v>613</v>
      </c>
      <c r="B87" s="363"/>
      <c r="C87" s="363">
        <f>C70/'FPT Digital Retail JSC | Income'!D23</f>
        <v>0.11402481950539743</v>
      </c>
      <c r="D87" s="363">
        <f>D70/'FPT Digital Retail JSC | Income'!E23</f>
        <v>4.6141753334594908E-2</v>
      </c>
      <c r="E87" s="363">
        <f>E70/'FPT Digital Retail JSC | Income'!F23</f>
        <v>7.7403216071218153E-2</v>
      </c>
      <c r="F87" s="363">
        <f>F70/'FPT Digital Retail JSC | Income'!G23</f>
        <v>8.2856247796512433E-2</v>
      </c>
      <c r="G87" s="363">
        <f>G70/'FPT Digital Retail JSC | Income'!H23</f>
        <v>0.10383405421329693</v>
      </c>
      <c r="H87" s="363">
        <f>H70/'FPT Digital Retail JSC | Income'!I23</f>
        <v>7.6489134168855652E-2</v>
      </c>
      <c r="I87" s="382">
        <f>AVERAGE(C87:H87)</f>
        <v>8.3458204181645915E-2</v>
      </c>
      <c r="J87" s="382">
        <f t="shared" ref="J87:N87" si="28">AVERAGE(D87:I87)</f>
        <v>7.8363768294354E-2</v>
      </c>
      <c r="K87" s="382">
        <f t="shared" si="28"/>
        <v>8.3734104120980521E-2</v>
      </c>
      <c r="L87" s="382">
        <f t="shared" si="28"/>
        <v>8.478925212927424E-2</v>
      </c>
      <c r="M87" s="382">
        <f t="shared" si="28"/>
        <v>8.5111419518067888E-2</v>
      </c>
      <c r="N87" s="382">
        <f t="shared" si="28"/>
        <v>8.1990980402196365E-2</v>
      </c>
    </row>
    <row r="88" spans="1:15" hidden="1" x14ac:dyDescent="0.2">
      <c r="A88" s="356" t="s">
        <v>168</v>
      </c>
      <c r="B88" s="357">
        <v>0</v>
      </c>
      <c r="C88" s="357">
        <v>0</v>
      </c>
      <c r="D88" s="357">
        <v>0</v>
      </c>
      <c r="E88" s="357">
        <v>0</v>
      </c>
      <c r="F88" s="357">
        <v>0</v>
      </c>
      <c r="G88" s="357">
        <v>0</v>
      </c>
      <c r="H88" s="357">
        <v>0</v>
      </c>
      <c r="I88" s="357"/>
      <c r="J88" s="357"/>
      <c r="K88" s="357"/>
      <c r="L88" s="357"/>
      <c r="M88" s="357"/>
      <c r="N88" s="357"/>
    </row>
    <row r="89" spans="1:15" hidden="1" x14ac:dyDescent="0.2">
      <c r="A89" s="356" t="s">
        <v>169</v>
      </c>
      <c r="B89" s="357">
        <v>2434624</v>
      </c>
      <c r="C89" s="357">
        <v>1173003</v>
      </c>
      <c r="D89" s="357">
        <v>2947272</v>
      </c>
      <c r="E89" s="357">
        <v>3698036</v>
      </c>
      <c r="F89" s="357">
        <v>2485948</v>
      </c>
      <c r="G89" s="357">
        <v>6047406</v>
      </c>
      <c r="H89" s="357">
        <v>5363331</v>
      </c>
      <c r="I89" s="357"/>
      <c r="J89" s="357"/>
      <c r="K89" s="357"/>
      <c r="L89" s="357"/>
      <c r="M89" s="357"/>
      <c r="N89" s="357"/>
    </row>
    <row r="90" spans="1:15" hidden="1" x14ac:dyDescent="0.2">
      <c r="A90" s="356" t="s">
        <v>170</v>
      </c>
      <c r="B90" s="357" t="s">
        <v>72</v>
      </c>
      <c r="C90" s="357" t="s">
        <v>72</v>
      </c>
      <c r="D90" s="357" t="s">
        <v>72</v>
      </c>
      <c r="E90" s="357">
        <v>6279</v>
      </c>
      <c r="F90" s="357" t="s">
        <v>72</v>
      </c>
      <c r="G90" s="357" t="s">
        <v>72</v>
      </c>
      <c r="H90" s="357" t="s">
        <v>72</v>
      </c>
      <c r="I90" s="357"/>
      <c r="J90" s="357"/>
      <c r="K90" s="357"/>
      <c r="L90" s="357"/>
      <c r="M90" s="357"/>
      <c r="N90" s="357"/>
    </row>
    <row r="91" spans="1:15" hidden="1" x14ac:dyDescent="0.2">
      <c r="A91" s="358" t="s">
        <v>171</v>
      </c>
      <c r="B91" s="357" t="s">
        <v>72</v>
      </c>
      <c r="C91" s="357" t="s">
        <v>72</v>
      </c>
      <c r="D91" s="357" t="s">
        <v>72</v>
      </c>
      <c r="E91" s="357">
        <v>6279</v>
      </c>
      <c r="F91" s="357" t="s">
        <v>72</v>
      </c>
      <c r="G91" s="357" t="s">
        <v>72</v>
      </c>
      <c r="H91" s="357" t="s">
        <v>72</v>
      </c>
      <c r="I91" s="357"/>
      <c r="J91" s="357"/>
      <c r="K91" s="357"/>
      <c r="L91" s="357"/>
      <c r="M91" s="357"/>
      <c r="N91" s="357"/>
    </row>
    <row r="92" spans="1:15" hidden="1" x14ac:dyDescent="0.2">
      <c r="A92" s="356" t="s">
        <v>172</v>
      </c>
      <c r="B92" s="357" t="s">
        <v>72</v>
      </c>
      <c r="C92" s="357" t="s">
        <v>72</v>
      </c>
      <c r="D92" s="357">
        <v>24984</v>
      </c>
      <c r="E92" s="357">
        <v>5637</v>
      </c>
      <c r="F92" s="357">
        <v>11403</v>
      </c>
      <c r="G92" s="357">
        <v>17066</v>
      </c>
      <c r="H92" s="357">
        <v>41105</v>
      </c>
      <c r="I92" s="357"/>
      <c r="J92" s="357"/>
      <c r="K92" s="357"/>
      <c r="L92" s="357"/>
      <c r="M92" s="357"/>
      <c r="N92" s="357"/>
    </row>
    <row r="93" spans="1:15" hidden="1" x14ac:dyDescent="0.2">
      <c r="A93" s="356" t="s">
        <v>173</v>
      </c>
      <c r="B93" s="357" t="s">
        <v>72</v>
      </c>
      <c r="C93" s="357" t="s">
        <v>72</v>
      </c>
      <c r="D93" s="357" t="s">
        <v>72</v>
      </c>
      <c r="E93" s="357" t="s">
        <v>72</v>
      </c>
      <c r="F93" s="357" t="s">
        <v>72</v>
      </c>
      <c r="G93" s="357">
        <v>87</v>
      </c>
      <c r="H93" s="357">
        <v>87</v>
      </c>
      <c r="I93" s="357"/>
      <c r="J93" s="357"/>
      <c r="K93" s="357"/>
      <c r="L93" s="357"/>
      <c r="M93" s="357"/>
      <c r="N93" s="357"/>
    </row>
    <row r="94" spans="1:15" hidden="1" x14ac:dyDescent="0.2">
      <c r="A94" s="358" t="s">
        <v>174</v>
      </c>
      <c r="B94" s="357" t="s">
        <v>72</v>
      </c>
      <c r="C94" s="357" t="s">
        <v>72</v>
      </c>
      <c r="D94" s="357" t="s">
        <v>72</v>
      </c>
      <c r="E94" s="357" t="s">
        <v>72</v>
      </c>
      <c r="F94" s="357" t="s">
        <v>72</v>
      </c>
      <c r="G94" s="357">
        <v>87</v>
      </c>
      <c r="H94" s="357">
        <v>87</v>
      </c>
      <c r="I94" s="357"/>
      <c r="J94" s="357"/>
      <c r="K94" s="357"/>
      <c r="L94" s="357"/>
      <c r="M94" s="357"/>
      <c r="N94" s="357"/>
    </row>
    <row r="95" spans="1:15" x14ac:dyDescent="0.2">
      <c r="A95" s="356" t="s">
        <v>175</v>
      </c>
      <c r="B95" s="357">
        <v>4195169</v>
      </c>
      <c r="C95" s="357">
        <v>3074774</v>
      </c>
      <c r="D95" s="357">
        <v>4033886</v>
      </c>
      <c r="E95" s="357">
        <v>5320047</v>
      </c>
      <c r="F95" s="357">
        <v>4173851</v>
      </c>
      <c r="G95" s="357">
        <v>9123860</v>
      </c>
      <c r="H95" s="357">
        <v>8515566</v>
      </c>
      <c r="I95" s="357"/>
      <c r="J95" s="357"/>
      <c r="K95" s="357"/>
      <c r="L95" s="357"/>
      <c r="M95" s="357"/>
      <c r="N95" s="357"/>
    </row>
    <row r="96" spans="1:15" s="76" customFormat="1" x14ac:dyDescent="0.2">
      <c r="A96" s="362" t="s">
        <v>611</v>
      </c>
      <c r="B96" s="377"/>
      <c r="C96" s="376">
        <f>C85+C47</f>
        <v>5067887</v>
      </c>
      <c r="D96" s="376">
        <f t="shared" ref="D96:N96" si="29">D47-D85</f>
        <v>2442429</v>
      </c>
      <c r="E96" s="376">
        <f t="shared" si="29"/>
        <v>2661534</v>
      </c>
      <c r="F96" s="376">
        <f t="shared" si="29"/>
        <v>695910</v>
      </c>
      <c r="G96" s="376">
        <f t="shared" si="29"/>
        <v>2348304</v>
      </c>
      <c r="H96" s="376">
        <f t="shared" si="29"/>
        <v>3976500</v>
      </c>
      <c r="I96" s="376">
        <f t="shared" si="29"/>
        <v>5108580.0759553388</v>
      </c>
      <c r="J96" s="376">
        <f t="shared" si="29"/>
        <v>5405237.4548598723</v>
      </c>
      <c r="K96" s="376">
        <f t="shared" si="29"/>
        <v>5512677.976235793</v>
      </c>
      <c r="L96" s="376">
        <f t="shared" si="29"/>
        <v>5368821.9236467751</v>
      </c>
      <c r="M96" s="376">
        <f t="shared" si="29"/>
        <v>5314445.4574326612</v>
      </c>
      <c r="N96" s="376">
        <f t="shared" si="29"/>
        <v>5602378.8088719491</v>
      </c>
    </row>
    <row r="97" spans="1:14" s="78" customFormat="1" x14ac:dyDescent="0.2">
      <c r="A97" s="384" t="s">
        <v>612</v>
      </c>
      <c r="B97" s="378"/>
      <c r="C97" s="378"/>
      <c r="D97" s="385">
        <f>D96-C96</f>
        <v>-2625458</v>
      </c>
      <c r="E97" s="385">
        <f>E96-D96</f>
        <v>219105</v>
      </c>
      <c r="F97" s="385">
        <f t="shared" ref="F97:H97" si="30">F96-E96</f>
        <v>-1965624</v>
      </c>
      <c r="G97" s="385">
        <f t="shared" si="30"/>
        <v>1652394</v>
      </c>
      <c r="H97" s="385">
        <f t="shared" si="30"/>
        <v>1628196</v>
      </c>
      <c r="I97" s="385">
        <f>I96-H96</f>
        <v>1132080.0759553388</v>
      </c>
      <c r="J97" s="385">
        <f t="shared" ref="J97:N97" si="31">J96-I96</f>
        <v>296657.37890453357</v>
      </c>
      <c r="K97" s="385">
        <f t="shared" si="31"/>
        <v>107440.52137592062</v>
      </c>
      <c r="L97" s="385">
        <f t="shared" si="31"/>
        <v>-143856.0525890179</v>
      </c>
      <c r="M97" s="385">
        <f t="shared" si="31"/>
        <v>-54376.466214113869</v>
      </c>
      <c r="N97" s="385">
        <f t="shared" si="31"/>
        <v>287933.35143928789</v>
      </c>
    </row>
    <row r="98" spans="1:14" s="55" customFormat="1" ht="12" hidden="1" customHeight="1" thickBot="1" x14ac:dyDescent="0.25">
      <c r="A98" s="356" t="s">
        <v>176</v>
      </c>
      <c r="B98" s="356"/>
      <c r="C98" s="356"/>
      <c r="D98" s="386"/>
      <c r="E98" s="356"/>
      <c r="F98" s="356"/>
      <c r="G98" s="356"/>
      <c r="H98" s="356"/>
      <c r="I98" s="357"/>
      <c r="J98" s="357"/>
      <c r="K98" s="357"/>
      <c r="L98" s="357"/>
      <c r="M98" s="357"/>
      <c r="N98" s="357"/>
    </row>
    <row r="99" spans="1:14" hidden="1" x14ac:dyDescent="0.2">
      <c r="A99" s="356" t="s">
        <v>177</v>
      </c>
      <c r="B99" s="357" t="s">
        <v>72</v>
      </c>
      <c r="C99" s="357" t="s">
        <v>72</v>
      </c>
      <c r="D99" s="357" t="s">
        <v>72</v>
      </c>
      <c r="E99" s="357" t="s">
        <v>72</v>
      </c>
      <c r="F99" s="357" t="s">
        <v>72</v>
      </c>
      <c r="G99" s="357" t="s">
        <v>72</v>
      </c>
      <c r="H99" s="357" t="s">
        <v>72</v>
      </c>
      <c r="I99" s="373"/>
      <c r="J99" s="373"/>
      <c r="K99" s="373"/>
      <c r="L99" s="373"/>
      <c r="M99" s="373"/>
      <c r="N99" s="373"/>
    </row>
    <row r="100" spans="1:14" hidden="1" x14ac:dyDescent="0.2">
      <c r="A100" s="356" t="s">
        <v>178</v>
      </c>
      <c r="B100" s="357" t="s">
        <v>72</v>
      </c>
      <c r="C100" s="357" t="s">
        <v>72</v>
      </c>
      <c r="D100" s="357" t="s">
        <v>72</v>
      </c>
      <c r="E100" s="357" t="s">
        <v>72</v>
      </c>
      <c r="F100" s="357" t="s">
        <v>72</v>
      </c>
      <c r="G100" s="357" t="s">
        <v>72</v>
      </c>
      <c r="H100" s="357" t="s">
        <v>72</v>
      </c>
      <c r="I100" s="357"/>
      <c r="J100" s="357"/>
      <c r="K100" s="357"/>
      <c r="L100" s="357"/>
      <c r="M100" s="357"/>
      <c r="N100" s="357"/>
    </row>
    <row r="101" spans="1:14" hidden="1" x14ac:dyDescent="0.2">
      <c r="A101" s="356" t="s">
        <v>179</v>
      </c>
      <c r="B101" s="357">
        <v>200000</v>
      </c>
      <c r="C101" s="357">
        <v>400000</v>
      </c>
      <c r="D101" s="357">
        <v>680000</v>
      </c>
      <c r="E101" s="357">
        <v>789818</v>
      </c>
      <c r="F101" s="357">
        <v>789818</v>
      </c>
      <c r="G101" s="357">
        <v>789818</v>
      </c>
      <c r="H101" s="357">
        <v>1184725</v>
      </c>
      <c r="I101" s="360"/>
      <c r="J101" s="360"/>
      <c r="K101" s="360"/>
      <c r="L101" s="360"/>
      <c r="M101" s="360"/>
      <c r="N101" s="360"/>
    </row>
    <row r="102" spans="1:14" hidden="1" x14ac:dyDescent="0.2">
      <c r="A102" s="358" t="s">
        <v>180</v>
      </c>
      <c r="B102" s="357">
        <v>200000</v>
      </c>
      <c r="C102" s="357">
        <v>400000</v>
      </c>
      <c r="D102" s="357">
        <v>680000</v>
      </c>
      <c r="E102" s="357">
        <v>789818</v>
      </c>
      <c r="F102" s="357">
        <v>789818</v>
      </c>
      <c r="G102" s="357">
        <v>789818</v>
      </c>
      <c r="H102" s="357">
        <v>1184725</v>
      </c>
      <c r="I102" s="373"/>
      <c r="J102" s="373"/>
      <c r="K102" s="373"/>
      <c r="L102" s="373"/>
      <c r="M102" s="373"/>
      <c r="N102" s="373"/>
    </row>
    <row r="103" spans="1:14" hidden="1" x14ac:dyDescent="0.2">
      <c r="A103" s="356" t="s">
        <v>181</v>
      </c>
      <c r="B103" s="357" t="s">
        <v>72</v>
      </c>
      <c r="C103" s="357" t="s">
        <v>72</v>
      </c>
      <c r="D103" s="357" t="s">
        <v>72</v>
      </c>
      <c r="E103" s="357" t="s">
        <v>72</v>
      </c>
      <c r="F103" s="357" t="s">
        <v>72</v>
      </c>
      <c r="G103" s="357" t="s">
        <v>72</v>
      </c>
      <c r="H103" s="357" t="s">
        <v>72</v>
      </c>
      <c r="I103" s="373"/>
      <c r="J103" s="373"/>
      <c r="K103" s="373"/>
      <c r="L103" s="373"/>
      <c r="M103" s="373"/>
      <c r="N103" s="373"/>
    </row>
    <row r="104" spans="1:14" hidden="1" x14ac:dyDescent="0.2">
      <c r="A104" s="356" t="s">
        <v>182</v>
      </c>
      <c r="B104" s="357">
        <v>315280</v>
      </c>
      <c r="C104" s="357">
        <v>396454</v>
      </c>
      <c r="D104" s="357">
        <v>453783</v>
      </c>
      <c r="E104" s="357">
        <v>483908</v>
      </c>
      <c r="F104" s="357">
        <v>423909</v>
      </c>
      <c r="G104" s="357">
        <v>872390</v>
      </c>
      <c r="H104" s="357">
        <v>823506</v>
      </c>
      <c r="I104" s="373"/>
      <c r="J104" s="373"/>
      <c r="K104" s="373"/>
      <c r="L104" s="373"/>
      <c r="M104" s="373"/>
      <c r="N104" s="373"/>
    </row>
    <row r="105" spans="1:14" hidden="1" x14ac:dyDescent="0.2">
      <c r="A105" s="356" t="s">
        <v>183</v>
      </c>
      <c r="B105" s="357">
        <v>-50</v>
      </c>
      <c r="C105" s="357" t="s">
        <v>72</v>
      </c>
      <c r="D105" s="357" t="s">
        <v>72</v>
      </c>
      <c r="E105" s="357" t="s">
        <v>72</v>
      </c>
      <c r="F105" s="357" t="s">
        <v>72</v>
      </c>
      <c r="G105" s="357" t="s">
        <v>72</v>
      </c>
      <c r="H105" s="357" t="s">
        <v>72</v>
      </c>
      <c r="I105" s="373"/>
      <c r="J105" s="373"/>
      <c r="K105" s="373"/>
      <c r="L105" s="373"/>
      <c r="M105" s="373"/>
      <c r="N105" s="373"/>
    </row>
    <row r="106" spans="1:14" hidden="1" x14ac:dyDescent="0.2">
      <c r="A106" s="356" t="s">
        <v>184</v>
      </c>
      <c r="B106" s="357" t="s">
        <v>72</v>
      </c>
      <c r="C106" s="357" t="s">
        <v>72</v>
      </c>
      <c r="D106" s="357" t="s">
        <v>72</v>
      </c>
      <c r="E106" s="357" t="s">
        <v>72</v>
      </c>
      <c r="F106" s="357" t="s">
        <v>72</v>
      </c>
      <c r="G106" s="357" t="s">
        <v>72</v>
      </c>
      <c r="H106" s="357" t="s">
        <v>72</v>
      </c>
      <c r="I106" s="373"/>
      <c r="J106" s="373"/>
      <c r="K106" s="373"/>
      <c r="L106" s="373"/>
      <c r="M106" s="373"/>
      <c r="N106" s="373"/>
    </row>
    <row r="107" spans="1:14" hidden="1" x14ac:dyDescent="0.2">
      <c r="A107" s="356" t="s">
        <v>185</v>
      </c>
      <c r="B107" s="357" t="s">
        <v>72</v>
      </c>
      <c r="C107" s="357" t="s">
        <v>72</v>
      </c>
      <c r="D107" s="357" t="s">
        <v>72</v>
      </c>
      <c r="E107" s="357" t="s">
        <v>72</v>
      </c>
      <c r="F107" s="357" t="s">
        <v>72</v>
      </c>
      <c r="G107" s="357" t="s">
        <v>72</v>
      </c>
      <c r="H107" s="357" t="s">
        <v>72</v>
      </c>
      <c r="I107" s="373"/>
      <c r="J107" s="373"/>
      <c r="K107" s="373"/>
      <c r="L107" s="373"/>
      <c r="M107" s="373"/>
      <c r="N107" s="373"/>
    </row>
    <row r="108" spans="1:14" hidden="1" x14ac:dyDescent="0.2">
      <c r="A108" s="356" t="s">
        <v>186</v>
      </c>
      <c r="B108" s="357" t="s">
        <v>72</v>
      </c>
      <c r="C108" s="357" t="s">
        <v>72</v>
      </c>
      <c r="D108" s="357" t="s">
        <v>72</v>
      </c>
      <c r="E108" s="357" t="s">
        <v>72</v>
      </c>
      <c r="F108" s="357" t="s">
        <v>72</v>
      </c>
      <c r="G108" s="357" t="s">
        <v>72</v>
      </c>
      <c r="H108" s="357" t="s">
        <v>72</v>
      </c>
      <c r="I108" s="373"/>
      <c r="J108" s="373"/>
      <c r="K108" s="373"/>
      <c r="L108" s="373"/>
      <c r="M108" s="373"/>
      <c r="N108" s="373"/>
    </row>
    <row r="109" spans="1:14" s="55" customFormat="1" hidden="1" x14ac:dyDescent="0.2">
      <c r="A109" s="356" t="s">
        <v>187</v>
      </c>
      <c r="B109" s="357">
        <v>515230</v>
      </c>
      <c r="C109" s="357">
        <v>796454</v>
      </c>
      <c r="D109" s="357">
        <v>1133783</v>
      </c>
      <c r="E109" s="357">
        <v>1273726</v>
      </c>
      <c r="F109" s="357">
        <v>1213726</v>
      </c>
      <c r="G109" s="357">
        <v>1662208</v>
      </c>
      <c r="H109" s="357">
        <v>2008231</v>
      </c>
      <c r="I109" s="373"/>
      <c r="J109" s="373"/>
      <c r="K109" s="373"/>
      <c r="L109" s="373"/>
      <c r="M109" s="373"/>
      <c r="N109" s="373"/>
    </row>
    <row r="110" spans="1:14" hidden="1" x14ac:dyDescent="0.2">
      <c r="A110" s="380"/>
      <c r="B110" s="380"/>
      <c r="C110" s="380"/>
      <c r="D110" s="380"/>
      <c r="E110" s="380"/>
      <c r="F110" s="380"/>
      <c r="G110" s="380"/>
      <c r="H110" s="380"/>
    </row>
    <row r="111" spans="1:14" s="55" customFormat="1" ht="16" hidden="1" thickBot="1" x14ac:dyDescent="0.25">
      <c r="A111" s="53" t="s">
        <v>188</v>
      </c>
      <c r="B111" s="54">
        <v>4710400</v>
      </c>
      <c r="C111" s="54">
        <v>3871228</v>
      </c>
      <c r="D111" s="54">
        <v>5167669</v>
      </c>
      <c r="E111" s="54">
        <v>6593773</v>
      </c>
      <c r="F111" s="54">
        <v>5387578</v>
      </c>
      <c r="G111" s="54">
        <v>10786069</v>
      </c>
      <c r="H111" s="54">
        <v>10523797</v>
      </c>
    </row>
    <row r="112" spans="1:14" hidden="1" x14ac:dyDescent="0.2">
      <c r="A112" s="19"/>
      <c r="B112" s="19"/>
      <c r="C112" s="19"/>
      <c r="D112" s="19"/>
      <c r="E112" s="19"/>
      <c r="F112" s="19"/>
      <c r="G112" s="19"/>
      <c r="H112" s="19"/>
    </row>
    <row r="113" spans="1:8" ht="12" hidden="1" customHeight="1" thickBot="1" x14ac:dyDescent="0.25">
      <c r="A113" s="12" t="s">
        <v>189</v>
      </c>
      <c r="B113" s="12"/>
      <c r="C113" s="12"/>
      <c r="D113" s="12"/>
      <c r="E113" s="12"/>
      <c r="F113" s="12"/>
      <c r="G113" s="12"/>
      <c r="H113" s="12"/>
    </row>
    <row r="114" spans="1:8" ht="16" hidden="1" thickBot="1" x14ac:dyDescent="0.25">
      <c r="A114" s="13" t="s">
        <v>190</v>
      </c>
      <c r="B114" s="14" t="s">
        <v>72</v>
      </c>
      <c r="C114" s="14" t="s">
        <v>72</v>
      </c>
      <c r="D114" s="14" t="s">
        <v>72</v>
      </c>
      <c r="E114" s="14" t="s">
        <v>72</v>
      </c>
      <c r="F114" s="14" t="s">
        <v>72</v>
      </c>
      <c r="G114" s="14" t="s">
        <v>72</v>
      </c>
      <c r="H114" s="14" t="s">
        <v>72</v>
      </c>
    </row>
    <row r="115" spans="1:8" ht="16" hidden="1" thickBot="1" x14ac:dyDescent="0.25">
      <c r="A115" s="13" t="s">
        <v>191</v>
      </c>
      <c r="B115" s="14" t="s">
        <v>72</v>
      </c>
      <c r="C115" s="14" t="s">
        <v>72</v>
      </c>
      <c r="D115" s="14" t="s">
        <v>72</v>
      </c>
      <c r="E115" s="14" t="s">
        <v>72</v>
      </c>
      <c r="F115" s="14" t="s">
        <v>72</v>
      </c>
      <c r="G115" s="14" t="s">
        <v>72</v>
      </c>
      <c r="H115" s="14" t="s">
        <v>72</v>
      </c>
    </row>
    <row r="116" spans="1:8" ht="16" hidden="1" thickBot="1" x14ac:dyDescent="0.25">
      <c r="A116" s="13" t="s">
        <v>192</v>
      </c>
      <c r="B116" s="14" t="s">
        <v>72</v>
      </c>
      <c r="C116" s="14" t="s">
        <v>72</v>
      </c>
      <c r="D116" s="14" t="s">
        <v>72</v>
      </c>
      <c r="E116" s="14" t="s">
        <v>72</v>
      </c>
      <c r="F116" s="14" t="s">
        <v>72</v>
      </c>
      <c r="G116" s="14" t="s">
        <v>72</v>
      </c>
      <c r="H116" s="14" t="s">
        <v>72</v>
      </c>
    </row>
    <row r="117" spans="1:8" s="55" customFormat="1" ht="16" hidden="1" thickBot="1" x14ac:dyDescent="0.25">
      <c r="A117" s="53" t="s">
        <v>193</v>
      </c>
      <c r="B117" s="54">
        <v>67</v>
      </c>
      <c r="C117" s="54">
        <v>135</v>
      </c>
      <c r="D117" s="54">
        <v>135</v>
      </c>
      <c r="E117" s="54">
        <v>136</v>
      </c>
      <c r="F117" s="54">
        <v>136</v>
      </c>
      <c r="G117" s="54">
        <v>136</v>
      </c>
      <c r="H117" s="54">
        <v>136</v>
      </c>
    </row>
    <row r="118" spans="1:8" ht="16" hidden="1" thickBot="1" x14ac:dyDescent="0.25">
      <c r="A118" s="17" t="s">
        <v>194</v>
      </c>
      <c r="B118" s="18">
        <v>67</v>
      </c>
      <c r="C118" s="18">
        <v>135</v>
      </c>
      <c r="D118" s="18">
        <v>135</v>
      </c>
      <c r="E118" s="18">
        <v>136</v>
      </c>
      <c r="F118" s="18">
        <v>136</v>
      </c>
      <c r="G118" s="18">
        <v>136</v>
      </c>
      <c r="H118" s="18">
        <v>136</v>
      </c>
    </row>
    <row r="119" spans="1:8" ht="16" hidden="1" thickBot="1" x14ac:dyDescent="0.25">
      <c r="A119" s="13" t="s">
        <v>195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</row>
    <row r="120" spans="1:8" ht="16" hidden="1" thickBot="1" x14ac:dyDescent="0.25">
      <c r="A120" s="13" t="s">
        <v>196</v>
      </c>
      <c r="B120" s="14" t="s">
        <v>72</v>
      </c>
      <c r="C120" s="14" t="s">
        <v>72</v>
      </c>
      <c r="D120" s="14" t="s">
        <v>72</v>
      </c>
      <c r="E120" s="14" t="s">
        <v>72</v>
      </c>
      <c r="F120" s="14" t="s">
        <v>72</v>
      </c>
      <c r="G120" s="14" t="s">
        <v>72</v>
      </c>
      <c r="H120" s="14" t="s">
        <v>72</v>
      </c>
    </row>
    <row r="121" spans="1:8" ht="16" hidden="1" thickBot="1" x14ac:dyDescent="0.25">
      <c r="A121" s="13" t="s">
        <v>197</v>
      </c>
      <c r="B121" s="14" t="s">
        <v>72</v>
      </c>
      <c r="C121" s="14" t="s">
        <v>72</v>
      </c>
      <c r="D121" s="14" t="s">
        <v>72</v>
      </c>
      <c r="E121" s="14" t="s">
        <v>72</v>
      </c>
      <c r="F121" s="14" t="s">
        <v>72</v>
      </c>
      <c r="G121" s="14" t="s">
        <v>72</v>
      </c>
      <c r="H121" s="14" t="s">
        <v>72</v>
      </c>
    </row>
    <row r="122" spans="1:8" ht="16" hidden="1" thickBot="1" x14ac:dyDescent="0.25">
      <c r="A122" s="13" t="s">
        <v>198</v>
      </c>
      <c r="B122" s="14" t="s">
        <v>72</v>
      </c>
      <c r="C122" s="14" t="s">
        <v>72</v>
      </c>
      <c r="D122" s="14" t="s">
        <v>72</v>
      </c>
      <c r="E122" s="14" t="s">
        <v>72</v>
      </c>
      <c r="F122" s="14" t="s">
        <v>72</v>
      </c>
      <c r="G122" s="14" t="s">
        <v>72</v>
      </c>
      <c r="H122" s="14" t="s">
        <v>72</v>
      </c>
    </row>
    <row r="123" spans="1:8" ht="16" hidden="1" thickBot="1" x14ac:dyDescent="0.25">
      <c r="A123" s="13" t="s">
        <v>199</v>
      </c>
      <c r="B123" s="14" t="s">
        <v>72</v>
      </c>
      <c r="C123" s="14" t="s">
        <v>72</v>
      </c>
      <c r="D123" s="14" t="s">
        <v>72</v>
      </c>
      <c r="E123" s="14" t="s">
        <v>72</v>
      </c>
      <c r="F123" s="14" t="s">
        <v>72</v>
      </c>
      <c r="G123" s="14" t="s">
        <v>72</v>
      </c>
      <c r="H123" s="14" t="s">
        <v>72</v>
      </c>
    </row>
    <row r="124" spans="1:8" ht="16" hidden="1" thickBot="1" x14ac:dyDescent="0.25">
      <c r="A124" s="13" t="s">
        <v>200</v>
      </c>
      <c r="B124" s="14" t="s">
        <v>72</v>
      </c>
      <c r="C124" s="14" t="s">
        <v>72</v>
      </c>
      <c r="D124" s="14" t="s">
        <v>72</v>
      </c>
      <c r="E124" s="14" t="s">
        <v>72</v>
      </c>
      <c r="F124" s="14" t="s">
        <v>72</v>
      </c>
      <c r="G124" s="14" t="s">
        <v>72</v>
      </c>
      <c r="H124" s="14" t="s">
        <v>72</v>
      </c>
    </row>
    <row r="125" spans="1:8" ht="16" hidden="1" thickBot="1" x14ac:dyDescent="0.25">
      <c r="A125" s="13" t="s">
        <v>201</v>
      </c>
      <c r="B125" s="14" t="s">
        <v>72</v>
      </c>
      <c r="C125" s="14" t="s">
        <v>72</v>
      </c>
      <c r="D125" s="14" t="s">
        <v>72</v>
      </c>
      <c r="E125" s="14" t="s">
        <v>72</v>
      </c>
      <c r="F125" s="14" t="s">
        <v>72</v>
      </c>
      <c r="G125" s="14" t="s">
        <v>72</v>
      </c>
      <c r="H125" s="14" t="s">
        <v>72</v>
      </c>
    </row>
    <row r="126" spans="1:8" ht="16" hidden="1" thickBot="1" x14ac:dyDescent="0.25">
      <c r="A126" s="13" t="s">
        <v>202</v>
      </c>
      <c r="B126" s="14" t="s">
        <v>72</v>
      </c>
      <c r="C126" s="14" t="s">
        <v>72</v>
      </c>
      <c r="D126" s="14" t="s">
        <v>72</v>
      </c>
      <c r="E126" s="14" t="s">
        <v>72</v>
      </c>
      <c r="F126" s="14" t="s">
        <v>72</v>
      </c>
      <c r="G126" s="14" t="s">
        <v>72</v>
      </c>
      <c r="H126" s="14" t="s">
        <v>72</v>
      </c>
    </row>
    <row r="127" spans="1:8" ht="16" hidden="1" thickBot="1" x14ac:dyDescent="0.25">
      <c r="A127" s="13" t="s">
        <v>203</v>
      </c>
      <c r="B127" s="14" t="s">
        <v>72</v>
      </c>
      <c r="C127" s="14" t="s">
        <v>72</v>
      </c>
      <c r="D127" s="14" t="s">
        <v>72</v>
      </c>
      <c r="E127" s="14" t="s">
        <v>72</v>
      </c>
      <c r="F127" s="14" t="s">
        <v>72</v>
      </c>
      <c r="G127" s="14" t="s">
        <v>72</v>
      </c>
      <c r="H127" s="14" t="s">
        <v>72</v>
      </c>
    </row>
    <row r="128" spans="1:8" ht="16" hidden="1" thickBot="1" x14ac:dyDescent="0.25">
      <c r="A128" s="13" t="s">
        <v>204</v>
      </c>
      <c r="B128" s="14" t="s">
        <v>72</v>
      </c>
      <c r="C128" s="14" t="s">
        <v>72</v>
      </c>
      <c r="D128" s="14" t="s">
        <v>72</v>
      </c>
      <c r="E128" s="14" t="s">
        <v>72</v>
      </c>
      <c r="F128" s="14" t="s">
        <v>72</v>
      </c>
      <c r="G128" s="14" t="s">
        <v>72</v>
      </c>
      <c r="H128" s="14" t="s">
        <v>72</v>
      </c>
    </row>
    <row r="129" spans="1:8" ht="16" hidden="1" thickBot="1" x14ac:dyDescent="0.25">
      <c r="A129" s="13" t="s">
        <v>205</v>
      </c>
      <c r="B129" s="14" t="s">
        <v>72</v>
      </c>
      <c r="C129" s="14" t="s">
        <v>72</v>
      </c>
      <c r="D129" s="14" t="s">
        <v>72</v>
      </c>
      <c r="E129" s="14" t="s">
        <v>72</v>
      </c>
      <c r="F129" s="14" t="s">
        <v>72</v>
      </c>
      <c r="G129" s="14" t="s">
        <v>72</v>
      </c>
      <c r="H129" s="14" t="s">
        <v>72</v>
      </c>
    </row>
    <row r="130" spans="1:8" ht="16" hidden="1" thickBot="1" x14ac:dyDescent="0.25">
      <c r="A130" s="13" t="s">
        <v>206</v>
      </c>
      <c r="B130" s="14" t="s">
        <v>72</v>
      </c>
      <c r="C130" s="14" t="s">
        <v>72</v>
      </c>
      <c r="D130" s="14" t="s">
        <v>72</v>
      </c>
      <c r="E130" s="14" t="s">
        <v>72</v>
      </c>
      <c r="F130" s="14" t="s">
        <v>72</v>
      </c>
      <c r="G130" s="14" t="s">
        <v>72</v>
      </c>
      <c r="H130" s="14" t="s">
        <v>72</v>
      </c>
    </row>
    <row r="131" spans="1:8" ht="16" hidden="1" thickBot="1" x14ac:dyDescent="0.25">
      <c r="A131" s="13" t="s">
        <v>207</v>
      </c>
      <c r="B131" s="14" t="s">
        <v>72</v>
      </c>
      <c r="C131" s="14" t="s">
        <v>72</v>
      </c>
      <c r="D131" s="14" t="s">
        <v>72</v>
      </c>
      <c r="E131" s="14" t="s">
        <v>72</v>
      </c>
      <c r="F131" s="14" t="s">
        <v>72</v>
      </c>
      <c r="G131" s="14" t="s">
        <v>72</v>
      </c>
      <c r="H131" s="14" t="s">
        <v>72</v>
      </c>
    </row>
    <row r="132" spans="1:8" ht="16" hidden="1" thickBot="1" x14ac:dyDescent="0.25">
      <c r="A132" s="13" t="s">
        <v>208</v>
      </c>
      <c r="B132" s="14">
        <v>515230</v>
      </c>
      <c r="C132" s="14">
        <v>796454</v>
      </c>
      <c r="D132" s="14">
        <v>1133783</v>
      </c>
      <c r="E132" s="14">
        <v>1273726</v>
      </c>
      <c r="F132" s="14">
        <v>1213726</v>
      </c>
      <c r="G132" s="14">
        <v>1662208</v>
      </c>
      <c r="H132" s="14">
        <v>2008231</v>
      </c>
    </row>
    <row r="133" spans="1:8" ht="16" hidden="1" thickBot="1" x14ac:dyDescent="0.25">
      <c r="A133" s="13" t="s">
        <v>209</v>
      </c>
      <c r="B133" s="14">
        <v>5270</v>
      </c>
      <c r="C133" s="14">
        <v>5905</v>
      </c>
      <c r="D133" s="14">
        <v>5656</v>
      </c>
      <c r="E133" s="14">
        <v>7234</v>
      </c>
      <c r="F133" s="14">
        <v>7123</v>
      </c>
      <c r="G133" s="14">
        <v>10078</v>
      </c>
      <c r="H133" s="14">
        <v>15481</v>
      </c>
    </row>
    <row r="134" spans="1:8" ht="16" hidden="1" thickBot="1" x14ac:dyDescent="0.25">
      <c r="A134" s="13" t="s">
        <v>210</v>
      </c>
      <c r="B134" s="14" t="s">
        <v>72</v>
      </c>
      <c r="C134" s="14" t="s">
        <v>72</v>
      </c>
      <c r="D134" s="14" t="s">
        <v>72</v>
      </c>
      <c r="E134" s="14" t="s">
        <v>72</v>
      </c>
      <c r="F134" s="14" t="s">
        <v>72</v>
      </c>
      <c r="G134" s="14" t="s">
        <v>72</v>
      </c>
      <c r="H134" s="14" t="s">
        <v>72</v>
      </c>
    </row>
    <row r="135" spans="1:8" ht="16" hidden="1" thickBot="1" x14ac:dyDescent="0.25">
      <c r="A135" s="13" t="s">
        <v>211</v>
      </c>
      <c r="B135" s="14" t="s">
        <v>72</v>
      </c>
      <c r="C135" s="14" t="s">
        <v>72</v>
      </c>
      <c r="D135" s="14" t="s">
        <v>72</v>
      </c>
      <c r="E135" s="14" t="s">
        <v>72</v>
      </c>
      <c r="F135" s="14" t="s">
        <v>72</v>
      </c>
      <c r="G135" s="14" t="s">
        <v>72</v>
      </c>
      <c r="H135" s="14" t="s">
        <v>72</v>
      </c>
    </row>
    <row r="136" spans="1:8" ht="16" hidden="1" thickBot="1" x14ac:dyDescent="0.25">
      <c r="A136" s="13" t="s">
        <v>212</v>
      </c>
      <c r="B136" s="14" t="s">
        <v>72</v>
      </c>
      <c r="C136" s="14" t="s">
        <v>72</v>
      </c>
      <c r="D136" s="14" t="s">
        <v>72</v>
      </c>
      <c r="E136" s="14" t="s">
        <v>72</v>
      </c>
      <c r="F136" s="14" t="s">
        <v>72</v>
      </c>
      <c r="G136" s="14" t="s">
        <v>72</v>
      </c>
      <c r="H136" s="14" t="s">
        <v>72</v>
      </c>
    </row>
    <row r="137" spans="1:8" ht="16" hidden="1" thickBot="1" x14ac:dyDescent="0.25">
      <c r="A137" s="13" t="s">
        <v>213</v>
      </c>
      <c r="B137" s="14" t="s">
        <v>72</v>
      </c>
      <c r="C137" s="14" t="s">
        <v>72</v>
      </c>
      <c r="D137" s="14" t="s">
        <v>72</v>
      </c>
      <c r="E137" s="14" t="s">
        <v>72</v>
      </c>
      <c r="F137" s="14" t="s">
        <v>72</v>
      </c>
      <c r="G137" s="14" t="s">
        <v>72</v>
      </c>
      <c r="H137" s="14" t="s">
        <v>72</v>
      </c>
    </row>
    <row r="138" spans="1:8" ht="16" hidden="1" thickBot="1" x14ac:dyDescent="0.25">
      <c r="A138" s="13" t="s">
        <v>214</v>
      </c>
      <c r="B138" s="14" t="s">
        <v>72</v>
      </c>
      <c r="C138" s="14" t="s">
        <v>72</v>
      </c>
      <c r="D138" s="14" t="s">
        <v>72</v>
      </c>
      <c r="E138" s="14" t="s">
        <v>72</v>
      </c>
      <c r="F138" s="14" t="s">
        <v>72</v>
      </c>
      <c r="G138" s="14" t="s">
        <v>72</v>
      </c>
      <c r="H138" s="14" t="s">
        <v>72</v>
      </c>
    </row>
    <row r="139" spans="1:8" ht="16" hidden="1" thickBot="1" x14ac:dyDescent="0.25">
      <c r="A139" s="13" t="s">
        <v>215</v>
      </c>
      <c r="B139" s="14" t="s">
        <v>72</v>
      </c>
      <c r="C139" s="14" t="s">
        <v>72</v>
      </c>
      <c r="D139" s="14" t="s">
        <v>72</v>
      </c>
      <c r="E139" s="14" t="s">
        <v>72</v>
      </c>
      <c r="F139" s="14" t="s">
        <v>72</v>
      </c>
      <c r="G139" s="14" t="s">
        <v>72</v>
      </c>
      <c r="H139" s="14" t="s">
        <v>72</v>
      </c>
    </row>
    <row r="140" spans="1:8" ht="16" hidden="1" thickBot="1" x14ac:dyDescent="0.25">
      <c r="A140" s="13" t="s">
        <v>216</v>
      </c>
      <c r="B140" s="14">
        <v>3052</v>
      </c>
      <c r="C140" s="14">
        <v>3639</v>
      </c>
      <c r="D140" s="14">
        <v>4044</v>
      </c>
      <c r="E140" s="14">
        <v>4459</v>
      </c>
      <c r="F140" s="14">
        <v>4956</v>
      </c>
      <c r="G140" s="14">
        <v>7181</v>
      </c>
      <c r="H140" s="14">
        <v>11752</v>
      </c>
    </row>
    <row r="141" spans="1:8" ht="16" hidden="1" thickBot="1" x14ac:dyDescent="0.25">
      <c r="A141" s="13" t="s">
        <v>217</v>
      </c>
      <c r="B141" s="14" t="s">
        <v>72</v>
      </c>
      <c r="C141" s="14" t="s">
        <v>72</v>
      </c>
      <c r="D141" s="14" t="s">
        <v>72</v>
      </c>
      <c r="E141" s="14" t="s">
        <v>72</v>
      </c>
      <c r="F141" s="14" t="s">
        <v>72</v>
      </c>
      <c r="G141" s="14" t="s">
        <v>72</v>
      </c>
      <c r="H141" s="14" t="s">
        <v>72</v>
      </c>
    </row>
    <row r="142" spans="1:8" ht="16" hidden="1" thickBot="1" x14ac:dyDescent="0.25">
      <c r="A142" s="13" t="s">
        <v>218</v>
      </c>
      <c r="B142" s="14" t="s">
        <v>72</v>
      </c>
      <c r="C142" s="14" t="s">
        <v>72</v>
      </c>
      <c r="D142" s="14" t="s">
        <v>72</v>
      </c>
      <c r="E142" s="14" t="s">
        <v>72</v>
      </c>
      <c r="F142" s="14" t="s">
        <v>72</v>
      </c>
      <c r="G142" s="14" t="s">
        <v>72</v>
      </c>
      <c r="H142" s="14" t="s">
        <v>72</v>
      </c>
    </row>
    <row r="143" spans="1:8" ht="16" hidden="1" thickBot="1" x14ac:dyDescent="0.25">
      <c r="A143" s="13" t="s">
        <v>219</v>
      </c>
      <c r="B143" s="14" t="s">
        <v>72</v>
      </c>
      <c r="C143" s="14" t="s">
        <v>72</v>
      </c>
      <c r="D143" s="14" t="s">
        <v>72</v>
      </c>
      <c r="E143" s="14" t="s">
        <v>72</v>
      </c>
      <c r="F143" s="14" t="s">
        <v>72</v>
      </c>
      <c r="G143" s="14" t="s">
        <v>72</v>
      </c>
      <c r="H143" s="14" t="s">
        <v>72</v>
      </c>
    </row>
    <row r="144" spans="1:8" ht="16" hidden="1" thickBot="1" x14ac:dyDescent="0.25">
      <c r="A144" s="13" t="s">
        <v>220</v>
      </c>
      <c r="B144" s="14" t="s">
        <v>72</v>
      </c>
      <c r="C144" s="14" t="s">
        <v>72</v>
      </c>
      <c r="D144" s="14" t="s">
        <v>72</v>
      </c>
      <c r="E144" s="14" t="s">
        <v>72</v>
      </c>
      <c r="F144" s="14" t="s">
        <v>72</v>
      </c>
      <c r="G144" s="14" t="s">
        <v>72</v>
      </c>
      <c r="H144" s="14" t="s">
        <v>72</v>
      </c>
    </row>
    <row r="145" spans="1:8" ht="16" hidden="1" thickBot="1" x14ac:dyDescent="0.25">
      <c r="A145" s="13" t="s">
        <v>221</v>
      </c>
      <c r="B145" s="14" t="s">
        <v>72</v>
      </c>
      <c r="C145" s="14" t="s">
        <v>72</v>
      </c>
      <c r="D145" s="14" t="s">
        <v>72</v>
      </c>
      <c r="E145" s="14" t="s">
        <v>72</v>
      </c>
      <c r="F145" s="14" t="s">
        <v>72</v>
      </c>
      <c r="G145" s="14" t="s">
        <v>72</v>
      </c>
      <c r="H145" s="14" t="s">
        <v>72</v>
      </c>
    </row>
    <row r="146" spans="1:8" ht="16" hidden="1" thickBot="1" x14ac:dyDescent="0.25">
      <c r="A146" s="13" t="s">
        <v>222</v>
      </c>
      <c r="B146" s="14" t="s">
        <v>72</v>
      </c>
      <c r="C146" s="14" t="s">
        <v>72</v>
      </c>
      <c r="D146" s="14" t="s">
        <v>72</v>
      </c>
      <c r="E146" s="14" t="s">
        <v>72</v>
      </c>
      <c r="F146" s="14" t="s">
        <v>72</v>
      </c>
      <c r="G146" s="14" t="s">
        <v>72</v>
      </c>
      <c r="H146" s="14" t="s">
        <v>72</v>
      </c>
    </row>
    <row r="147" spans="1:8" ht="16" hidden="1" thickBot="1" x14ac:dyDescent="0.25">
      <c r="A147" s="13" t="s">
        <v>223</v>
      </c>
      <c r="B147" s="14" t="s">
        <v>72</v>
      </c>
      <c r="C147" s="14" t="s">
        <v>72</v>
      </c>
      <c r="D147" s="14" t="s">
        <v>72</v>
      </c>
      <c r="E147" s="14" t="s">
        <v>72</v>
      </c>
      <c r="F147" s="14" t="s">
        <v>72</v>
      </c>
      <c r="G147" s="14" t="s">
        <v>72</v>
      </c>
      <c r="H147" s="14" t="s">
        <v>72</v>
      </c>
    </row>
    <row r="148" spans="1:8" ht="16" hidden="1" thickBot="1" x14ac:dyDescent="0.25">
      <c r="A148" s="13" t="s">
        <v>224</v>
      </c>
      <c r="B148" s="14" t="s">
        <v>72</v>
      </c>
      <c r="C148" s="14" t="s">
        <v>72</v>
      </c>
      <c r="D148" s="14" t="s">
        <v>72</v>
      </c>
      <c r="E148" s="14" t="s">
        <v>72</v>
      </c>
      <c r="F148" s="14" t="s">
        <v>72</v>
      </c>
      <c r="G148" s="14" t="s">
        <v>72</v>
      </c>
      <c r="H148" s="14" t="s">
        <v>72</v>
      </c>
    </row>
    <row r="149" spans="1:8" ht="16" hidden="1" thickBot="1" x14ac:dyDescent="0.25">
      <c r="A149" s="13" t="s">
        <v>225</v>
      </c>
      <c r="B149" s="14" t="s">
        <v>72</v>
      </c>
      <c r="C149" s="14" t="s">
        <v>72</v>
      </c>
      <c r="D149" s="14" t="s">
        <v>72</v>
      </c>
      <c r="E149" s="14" t="s">
        <v>72</v>
      </c>
      <c r="F149" s="14" t="s">
        <v>72</v>
      </c>
      <c r="G149" s="14" t="s">
        <v>72</v>
      </c>
      <c r="H149" s="14" t="s">
        <v>72</v>
      </c>
    </row>
    <row r="150" spans="1:8" ht="16" hidden="1" thickBot="1" x14ac:dyDescent="0.25">
      <c r="A150" s="13" t="s">
        <v>226</v>
      </c>
      <c r="B150" s="14" t="s">
        <v>72</v>
      </c>
      <c r="C150" s="14" t="s">
        <v>72</v>
      </c>
      <c r="D150" s="14" t="s">
        <v>72</v>
      </c>
      <c r="E150" s="14" t="s">
        <v>72</v>
      </c>
      <c r="F150" s="14" t="s">
        <v>72</v>
      </c>
      <c r="G150" s="14" t="s">
        <v>72</v>
      </c>
      <c r="H150" s="14" t="s">
        <v>72</v>
      </c>
    </row>
    <row r="151" spans="1:8" ht="16" hidden="1" thickBot="1" x14ac:dyDescent="0.25">
      <c r="A151" s="13" t="s">
        <v>227</v>
      </c>
      <c r="B151" s="14" t="s">
        <v>72</v>
      </c>
      <c r="C151" s="14" t="s">
        <v>72</v>
      </c>
      <c r="D151" s="14" t="s">
        <v>72</v>
      </c>
      <c r="E151" s="14" t="s">
        <v>72</v>
      </c>
      <c r="F151" s="14" t="s">
        <v>72</v>
      </c>
      <c r="G151" s="14" t="s">
        <v>72</v>
      </c>
      <c r="H151" s="14" t="s">
        <v>72</v>
      </c>
    </row>
    <row r="152" spans="1:8" ht="16" hidden="1" thickBot="1" x14ac:dyDescent="0.25">
      <c r="A152" s="13" t="s">
        <v>228</v>
      </c>
      <c r="B152" s="14" t="s">
        <v>72</v>
      </c>
      <c r="C152" s="14" t="s">
        <v>72</v>
      </c>
      <c r="D152" s="14" t="s">
        <v>72</v>
      </c>
      <c r="E152" s="14" t="s">
        <v>72</v>
      </c>
      <c r="F152" s="14" t="s">
        <v>72</v>
      </c>
      <c r="G152" s="14" t="s">
        <v>72</v>
      </c>
      <c r="H152" s="14" t="s">
        <v>72</v>
      </c>
    </row>
    <row r="153" spans="1:8" ht="16" hidden="1" thickBot="1" x14ac:dyDescent="0.25">
      <c r="A153" s="13" t="s">
        <v>229</v>
      </c>
      <c r="B153" s="14" t="s">
        <v>72</v>
      </c>
      <c r="C153" s="14" t="s">
        <v>72</v>
      </c>
      <c r="D153" s="14" t="s">
        <v>72</v>
      </c>
      <c r="E153" s="14" t="s">
        <v>72</v>
      </c>
      <c r="F153" s="14" t="s">
        <v>72</v>
      </c>
      <c r="G153" s="14" t="s">
        <v>72</v>
      </c>
      <c r="H153" s="14" t="s">
        <v>72</v>
      </c>
    </row>
    <row r="154" spans="1:8" ht="16" hidden="1" thickBot="1" x14ac:dyDescent="0.25">
      <c r="A154" s="13" t="s">
        <v>230</v>
      </c>
      <c r="B154" s="14" t="s">
        <v>72</v>
      </c>
      <c r="C154" s="14" t="s">
        <v>72</v>
      </c>
      <c r="D154" s="14" t="s">
        <v>72</v>
      </c>
      <c r="E154" s="14" t="s">
        <v>72</v>
      </c>
      <c r="F154" s="14" t="s">
        <v>72</v>
      </c>
      <c r="G154" s="14" t="s">
        <v>72</v>
      </c>
      <c r="H154" s="14" t="s">
        <v>72</v>
      </c>
    </row>
    <row r="155" spans="1:8" ht="16" hidden="1" thickBot="1" x14ac:dyDescent="0.25">
      <c r="A155" s="13" t="s">
        <v>231</v>
      </c>
      <c r="B155" s="14" t="s">
        <v>72</v>
      </c>
      <c r="C155" s="14" t="s">
        <v>72</v>
      </c>
      <c r="D155" s="14" t="s">
        <v>72</v>
      </c>
      <c r="E155" s="14" t="s">
        <v>72</v>
      </c>
      <c r="F155" s="14" t="s">
        <v>72</v>
      </c>
      <c r="G155" s="14" t="s">
        <v>72</v>
      </c>
      <c r="H155" s="14" t="s">
        <v>72</v>
      </c>
    </row>
    <row r="156" spans="1:8" ht="16" hidden="1" thickBot="1" x14ac:dyDescent="0.25">
      <c r="A156" s="13" t="s">
        <v>232</v>
      </c>
      <c r="B156" s="14">
        <v>34948</v>
      </c>
      <c r="C156" s="14">
        <v>13232</v>
      </c>
      <c r="D156" s="14">
        <v>13918</v>
      </c>
      <c r="E156" s="14">
        <v>19464</v>
      </c>
      <c r="F156" s="14">
        <v>28401</v>
      </c>
      <c r="G156" s="14">
        <v>54212</v>
      </c>
      <c r="H156" s="14">
        <v>35297</v>
      </c>
    </row>
    <row r="157" spans="1:8" ht="16" hidden="1" thickBot="1" x14ac:dyDescent="0.25">
      <c r="A157" s="13" t="s">
        <v>233</v>
      </c>
      <c r="B157" s="14" t="s">
        <v>72</v>
      </c>
      <c r="C157" s="14" t="s">
        <v>72</v>
      </c>
      <c r="D157" s="14" t="s">
        <v>72</v>
      </c>
      <c r="E157" s="14" t="s">
        <v>72</v>
      </c>
      <c r="F157" s="14" t="s">
        <v>72</v>
      </c>
      <c r="G157" s="14" t="s">
        <v>72</v>
      </c>
      <c r="H157" s="14" t="s">
        <v>72</v>
      </c>
    </row>
    <row r="158" spans="1:8" ht="16" hidden="1" thickBot="1" x14ac:dyDescent="0.25">
      <c r="A158" s="13" t="s">
        <v>234</v>
      </c>
      <c r="B158" s="14" t="s">
        <v>72</v>
      </c>
      <c r="C158" s="14" t="s">
        <v>72</v>
      </c>
      <c r="D158" s="14" t="s">
        <v>72</v>
      </c>
      <c r="E158" s="14" t="s">
        <v>72</v>
      </c>
      <c r="F158" s="14" t="s">
        <v>72</v>
      </c>
      <c r="G158" s="14" t="s">
        <v>72</v>
      </c>
      <c r="H158" s="14" t="s">
        <v>72</v>
      </c>
    </row>
    <row r="159" spans="1:8" ht="16" hidden="1" thickBot="1" x14ac:dyDescent="0.25">
      <c r="A159" s="13" t="s">
        <v>235</v>
      </c>
      <c r="B159" s="14" t="s">
        <v>72</v>
      </c>
      <c r="C159" s="14" t="s">
        <v>72</v>
      </c>
      <c r="D159" s="14" t="s">
        <v>72</v>
      </c>
      <c r="E159" s="14" t="s">
        <v>72</v>
      </c>
      <c r="F159" s="14" t="s">
        <v>72</v>
      </c>
      <c r="G159" s="14" t="s">
        <v>72</v>
      </c>
      <c r="H159" s="14" t="s">
        <v>72</v>
      </c>
    </row>
    <row r="160" spans="1:8" ht="16" hidden="1" thickBot="1" x14ac:dyDescent="0.25">
      <c r="A160" s="13" t="s">
        <v>236</v>
      </c>
      <c r="B160" s="14" t="s">
        <v>72</v>
      </c>
      <c r="C160" s="14" t="s">
        <v>72</v>
      </c>
      <c r="D160" s="14" t="s">
        <v>72</v>
      </c>
      <c r="E160" s="14" t="s">
        <v>72</v>
      </c>
      <c r="F160" s="14" t="s">
        <v>72</v>
      </c>
      <c r="G160" s="14" t="s">
        <v>72</v>
      </c>
      <c r="H160" s="14" t="s">
        <v>72</v>
      </c>
    </row>
    <row r="161" spans="1:8" ht="16" hidden="1" thickBot="1" x14ac:dyDescent="0.25">
      <c r="A161" s="13" t="s">
        <v>237</v>
      </c>
      <c r="B161" s="14" t="s">
        <v>72</v>
      </c>
      <c r="C161" s="14" t="s">
        <v>72</v>
      </c>
      <c r="D161" s="14" t="s">
        <v>72</v>
      </c>
      <c r="E161" s="14" t="s">
        <v>72</v>
      </c>
      <c r="F161" s="14" t="s">
        <v>72</v>
      </c>
      <c r="G161" s="14" t="s">
        <v>72</v>
      </c>
      <c r="H161" s="14" t="s">
        <v>72</v>
      </c>
    </row>
    <row r="162" spans="1:8" ht="16" hidden="1" thickBot="1" x14ac:dyDescent="0.25">
      <c r="A162" s="13" t="s">
        <v>238</v>
      </c>
      <c r="B162" s="14" t="s">
        <v>72</v>
      </c>
      <c r="C162" s="14" t="s">
        <v>72</v>
      </c>
      <c r="D162" s="14" t="s">
        <v>72</v>
      </c>
      <c r="E162" s="14" t="s">
        <v>72</v>
      </c>
      <c r="F162" s="14" t="s">
        <v>72</v>
      </c>
      <c r="G162" s="14" t="s">
        <v>72</v>
      </c>
      <c r="H162" s="14" t="s">
        <v>72</v>
      </c>
    </row>
    <row r="163" spans="1:8" ht="16" hidden="1" thickBot="1" x14ac:dyDescent="0.25">
      <c r="A163" s="13" t="s">
        <v>239</v>
      </c>
      <c r="B163" s="14" t="s">
        <v>72</v>
      </c>
      <c r="C163" s="14" t="s">
        <v>72</v>
      </c>
      <c r="D163" s="14" t="s">
        <v>72</v>
      </c>
      <c r="E163" s="14" t="s">
        <v>72</v>
      </c>
      <c r="F163" s="14" t="s">
        <v>72</v>
      </c>
      <c r="G163" s="14" t="s">
        <v>72</v>
      </c>
      <c r="H163" s="14" t="s">
        <v>72</v>
      </c>
    </row>
    <row r="164" spans="1:8" ht="16" hidden="1" thickBot="1" x14ac:dyDescent="0.25">
      <c r="A164" s="13" t="s">
        <v>240</v>
      </c>
      <c r="B164" s="14" t="s">
        <v>72</v>
      </c>
      <c r="C164" s="14" t="s">
        <v>72</v>
      </c>
      <c r="D164" s="14" t="s">
        <v>72</v>
      </c>
      <c r="E164" s="14" t="s">
        <v>72</v>
      </c>
      <c r="F164" s="14" t="s">
        <v>72</v>
      </c>
      <c r="G164" s="14" t="s">
        <v>72</v>
      </c>
      <c r="H164" s="14" t="s">
        <v>72</v>
      </c>
    </row>
    <row r="165" spans="1:8" ht="16" hidden="1" thickBot="1" x14ac:dyDescent="0.25">
      <c r="A165" s="13" t="s">
        <v>241</v>
      </c>
      <c r="B165" s="14" t="s">
        <v>72</v>
      </c>
      <c r="C165" s="14" t="s">
        <v>72</v>
      </c>
      <c r="D165" s="14" t="s">
        <v>72</v>
      </c>
      <c r="E165" s="14" t="s">
        <v>72</v>
      </c>
      <c r="F165" s="14" t="s">
        <v>72</v>
      </c>
      <c r="G165" s="14" t="s">
        <v>72</v>
      </c>
      <c r="H165" s="14" t="s">
        <v>72</v>
      </c>
    </row>
    <row r="166" spans="1:8" ht="16" hidden="1" thickBot="1" x14ac:dyDescent="0.25">
      <c r="A166" s="13" t="s">
        <v>242</v>
      </c>
      <c r="B166" s="14" t="s">
        <v>72</v>
      </c>
      <c r="C166" s="14" t="s">
        <v>72</v>
      </c>
      <c r="D166" s="14" t="s">
        <v>72</v>
      </c>
      <c r="E166" s="14" t="s">
        <v>72</v>
      </c>
      <c r="F166" s="14" t="s">
        <v>72</v>
      </c>
      <c r="G166" s="14" t="s">
        <v>72</v>
      </c>
      <c r="H166" s="14" t="s">
        <v>72</v>
      </c>
    </row>
    <row r="167" spans="1:8" ht="16" hidden="1" thickBot="1" x14ac:dyDescent="0.25">
      <c r="A167" s="13" t="s">
        <v>243</v>
      </c>
      <c r="B167" s="14" t="s">
        <v>72</v>
      </c>
      <c r="C167" s="14" t="s">
        <v>72</v>
      </c>
      <c r="D167" s="14" t="s">
        <v>72</v>
      </c>
      <c r="E167" s="14" t="s">
        <v>72</v>
      </c>
      <c r="F167" s="14" t="s">
        <v>72</v>
      </c>
      <c r="G167" s="14" t="s">
        <v>72</v>
      </c>
      <c r="H167" s="14" t="s">
        <v>72</v>
      </c>
    </row>
    <row r="168" spans="1:8" ht="16" hidden="1" thickBot="1" x14ac:dyDescent="0.25">
      <c r="A168" s="13" t="s">
        <v>244</v>
      </c>
      <c r="B168" s="14" t="s">
        <v>72</v>
      </c>
      <c r="C168" s="14" t="s">
        <v>72</v>
      </c>
      <c r="D168" s="14" t="s">
        <v>72</v>
      </c>
      <c r="E168" s="14" t="s">
        <v>72</v>
      </c>
      <c r="F168" s="14" t="s">
        <v>72</v>
      </c>
      <c r="G168" s="14" t="s">
        <v>72</v>
      </c>
      <c r="H168" s="14" t="s">
        <v>72</v>
      </c>
    </row>
    <row r="169" spans="1:8" ht="16" hidden="1" thickBot="1" x14ac:dyDescent="0.25">
      <c r="A169" s="13" t="s">
        <v>245</v>
      </c>
      <c r="B169" s="21" t="s">
        <v>72</v>
      </c>
      <c r="C169" s="21" t="s">
        <v>72</v>
      </c>
      <c r="D169" s="21" t="s">
        <v>72</v>
      </c>
      <c r="E169" s="21" t="s">
        <v>72</v>
      </c>
      <c r="F169" s="21" t="s">
        <v>72</v>
      </c>
      <c r="G169" s="21" t="s">
        <v>72</v>
      </c>
      <c r="H169" s="21" t="s">
        <v>72</v>
      </c>
    </row>
    <row r="170" spans="1:8" ht="16" hidden="1" thickBot="1" x14ac:dyDescent="0.25">
      <c r="A170" s="13" t="s">
        <v>246</v>
      </c>
      <c r="B170" s="21" t="s">
        <v>72</v>
      </c>
      <c r="C170" s="21" t="s">
        <v>72</v>
      </c>
      <c r="D170" s="21" t="s">
        <v>72</v>
      </c>
      <c r="E170" s="21" t="s">
        <v>72</v>
      </c>
      <c r="F170" s="21" t="s">
        <v>72</v>
      </c>
      <c r="G170" s="21" t="s">
        <v>72</v>
      </c>
      <c r="H170" s="21" t="s">
        <v>72</v>
      </c>
    </row>
    <row r="171" spans="1:8" ht="16" hidden="1" thickBot="1" x14ac:dyDescent="0.25">
      <c r="A171" s="13" t="s">
        <v>247</v>
      </c>
      <c r="B171" s="21" t="s">
        <v>72</v>
      </c>
      <c r="C171" s="21" t="s">
        <v>72</v>
      </c>
      <c r="D171" s="21" t="s">
        <v>72</v>
      </c>
      <c r="E171" s="21" t="s">
        <v>72</v>
      </c>
      <c r="F171" s="21" t="s">
        <v>72</v>
      </c>
      <c r="G171" s="21" t="s">
        <v>72</v>
      </c>
      <c r="H171" s="21" t="s">
        <v>72</v>
      </c>
    </row>
    <row r="172" spans="1:8" ht="16" hidden="1" thickBot="1" x14ac:dyDescent="0.25">
      <c r="A172" s="13" t="s">
        <v>248</v>
      </c>
      <c r="B172" s="14" t="s">
        <v>72</v>
      </c>
      <c r="C172" s="14" t="s">
        <v>72</v>
      </c>
      <c r="D172" s="14" t="s">
        <v>72</v>
      </c>
      <c r="E172" s="14" t="s">
        <v>72</v>
      </c>
      <c r="F172" s="14" t="s">
        <v>72</v>
      </c>
      <c r="G172" s="14" t="s">
        <v>72</v>
      </c>
      <c r="H172" s="14" t="s">
        <v>72</v>
      </c>
    </row>
    <row r="173" spans="1:8" ht="16" hidden="1" thickBot="1" x14ac:dyDescent="0.25">
      <c r="A173" s="13" t="s">
        <v>249</v>
      </c>
      <c r="B173" s="14" t="s">
        <v>72</v>
      </c>
      <c r="C173" s="14" t="s">
        <v>72</v>
      </c>
      <c r="D173" s="14" t="s">
        <v>72</v>
      </c>
      <c r="E173" s="14" t="s">
        <v>72</v>
      </c>
      <c r="F173" s="14" t="s">
        <v>72</v>
      </c>
      <c r="G173" s="14" t="s">
        <v>72</v>
      </c>
      <c r="H173" s="14" t="s">
        <v>72</v>
      </c>
    </row>
    <row r="174" spans="1:8" ht="16" hidden="1" thickBot="1" x14ac:dyDescent="0.25">
      <c r="A174" s="13" t="s">
        <v>250</v>
      </c>
      <c r="B174" s="14" t="s">
        <v>72</v>
      </c>
      <c r="C174" s="14" t="s">
        <v>72</v>
      </c>
      <c r="D174" s="14" t="s">
        <v>72</v>
      </c>
      <c r="E174" s="14" t="s">
        <v>72</v>
      </c>
      <c r="F174" s="14" t="s">
        <v>72</v>
      </c>
      <c r="G174" s="14" t="s">
        <v>72</v>
      </c>
      <c r="H174" s="14" t="s">
        <v>72</v>
      </c>
    </row>
    <row r="175" spans="1:8" ht="16" hidden="1" thickBot="1" x14ac:dyDescent="0.25">
      <c r="A175" s="13" t="s">
        <v>251</v>
      </c>
      <c r="B175" s="14" t="s">
        <v>72</v>
      </c>
      <c r="C175" s="14" t="s">
        <v>72</v>
      </c>
      <c r="D175" s="14" t="s">
        <v>72</v>
      </c>
      <c r="E175" s="14" t="s">
        <v>72</v>
      </c>
      <c r="F175" s="14" t="s">
        <v>72</v>
      </c>
      <c r="G175" s="14" t="s">
        <v>72</v>
      </c>
      <c r="H175" s="14" t="s">
        <v>72</v>
      </c>
    </row>
    <row r="176" spans="1:8" ht="16" hidden="1" thickBot="1" x14ac:dyDescent="0.25">
      <c r="A176" s="13" t="s">
        <v>252</v>
      </c>
      <c r="B176" s="14" t="s">
        <v>72</v>
      </c>
      <c r="C176" s="14" t="s">
        <v>72</v>
      </c>
      <c r="D176" s="14" t="s">
        <v>72</v>
      </c>
      <c r="E176" s="14" t="s">
        <v>72</v>
      </c>
      <c r="F176" s="14" t="s">
        <v>72</v>
      </c>
      <c r="G176" s="14" t="s">
        <v>72</v>
      </c>
      <c r="H176" s="14" t="s">
        <v>72</v>
      </c>
    </row>
    <row r="177" spans="1:8" ht="16" hidden="1" thickBot="1" x14ac:dyDescent="0.25">
      <c r="A177" s="13" t="s">
        <v>253</v>
      </c>
      <c r="B177" s="14" t="s">
        <v>72</v>
      </c>
      <c r="C177" s="14" t="s">
        <v>72</v>
      </c>
      <c r="D177" s="14" t="s">
        <v>72</v>
      </c>
      <c r="E177" s="14" t="s">
        <v>72</v>
      </c>
      <c r="F177" s="14" t="s">
        <v>72</v>
      </c>
      <c r="G177" s="14" t="s">
        <v>72</v>
      </c>
      <c r="H177" s="14" t="s">
        <v>72</v>
      </c>
    </row>
    <row r="178" spans="1:8" ht="16" hidden="1" thickBot="1" x14ac:dyDescent="0.25">
      <c r="A178" s="13" t="s">
        <v>254</v>
      </c>
      <c r="B178" s="14" t="s">
        <v>72</v>
      </c>
      <c r="C178" s="14" t="s">
        <v>72</v>
      </c>
      <c r="D178" s="14" t="s">
        <v>72</v>
      </c>
      <c r="E178" s="14" t="s">
        <v>72</v>
      </c>
      <c r="F178" s="14" t="s">
        <v>72</v>
      </c>
      <c r="G178" s="14" t="s">
        <v>72</v>
      </c>
      <c r="H178" s="14" t="s">
        <v>72</v>
      </c>
    </row>
    <row r="179" spans="1:8" ht="16" hidden="1" thickBot="1" x14ac:dyDescent="0.25">
      <c r="A179" s="13" t="s">
        <v>255</v>
      </c>
      <c r="B179" s="21" t="s">
        <v>72</v>
      </c>
      <c r="C179" s="21" t="s">
        <v>72</v>
      </c>
      <c r="D179" s="21" t="s">
        <v>72</v>
      </c>
      <c r="E179" s="21" t="s">
        <v>72</v>
      </c>
      <c r="F179" s="21" t="s">
        <v>72</v>
      </c>
      <c r="G179" s="21" t="s">
        <v>72</v>
      </c>
      <c r="H179" s="21" t="s">
        <v>72</v>
      </c>
    </row>
    <row r="180" spans="1:8" ht="16" hidden="1" thickBot="1" x14ac:dyDescent="0.25">
      <c r="A180" s="13" t="s">
        <v>256</v>
      </c>
      <c r="B180" s="21" t="s">
        <v>72</v>
      </c>
      <c r="C180" s="21" t="s">
        <v>72</v>
      </c>
      <c r="D180" s="21" t="s">
        <v>72</v>
      </c>
      <c r="E180" s="21" t="s">
        <v>72</v>
      </c>
      <c r="F180" s="21" t="s">
        <v>72</v>
      </c>
      <c r="G180" s="21" t="s">
        <v>72</v>
      </c>
      <c r="H180" s="21" t="s">
        <v>72</v>
      </c>
    </row>
    <row r="181" spans="1:8" ht="16" hidden="1" thickBot="1" x14ac:dyDescent="0.25">
      <c r="A181" s="13" t="s">
        <v>257</v>
      </c>
      <c r="B181" s="21" t="s">
        <v>72</v>
      </c>
      <c r="C181" s="21" t="s">
        <v>72</v>
      </c>
      <c r="D181" s="21" t="s">
        <v>72</v>
      </c>
      <c r="E181" s="21" t="s">
        <v>72</v>
      </c>
      <c r="F181" s="21" t="s">
        <v>72</v>
      </c>
      <c r="G181" s="21" t="s">
        <v>72</v>
      </c>
      <c r="H181" s="21" t="s">
        <v>72</v>
      </c>
    </row>
    <row r="182" spans="1:8" ht="16" hidden="1" thickBot="1" x14ac:dyDescent="0.25">
      <c r="A182" s="13" t="s">
        <v>258</v>
      </c>
      <c r="B182" s="21" t="s">
        <v>72</v>
      </c>
      <c r="C182" s="21" t="s">
        <v>72</v>
      </c>
      <c r="D182" s="21" t="s">
        <v>72</v>
      </c>
      <c r="E182" s="21" t="s">
        <v>72</v>
      </c>
      <c r="F182" s="21" t="s">
        <v>72</v>
      </c>
      <c r="G182" s="21" t="s">
        <v>72</v>
      </c>
      <c r="H182" s="21" t="s">
        <v>72</v>
      </c>
    </row>
    <row r="183" spans="1:8" ht="16" hidden="1" thickBot="1" x14ac:dyDescent="0.25">
      <c r="A183" s="13" t="s">
        <v>259</v>
      </c>
      <c r="B183" s="21" t="s">
        <v>72</v>
      </c>
      <c r="C183" s="21" t="s">
        <v>72</v>
      </c>
      <c r="D183" s="21" t="s">
        <v>72</v>
      </c>
      <c r="E183" s="21" t="s">
        <v>72</v>
      </c>
      <c r="F183" s="21" t="s">
        <v>72</v>
      </c>
      <c r="G183" s="21" t="s">
        <v>72</v>
      </c>
      <c r="H183" s="21" t="s">
        <v>72</v>
      </c>
    </row>
    <row r="184" spans="1:8" ht="16" hidden="1" thickBot="1" x14ac:dyDescent="0.25">
      <c r="A184" s="13" t="s">
        <v>260</v>
      </c>
      <c r="B184" s="14" t="s">
        <v>72</v>
      </c>
      <c r="C184" s="14" t="s">
        <v>72</v>
      </c>
      <c r="D184" s="14" t="s">
        <v>72</v>
      </c>
      <c r="E184" s="14" t="s">
        <v>72</v>
      </c>
      <c r="F184" s="14" t="s">
        <v>72</v>
      </c>
      <c r="G184" s="14" t="s">
        <v>72</v>
      </c>
      <c r="H184" s="14" t="s">
        <v>72</v>
      </c>
    </row>
    <row r="185" spans="1:8" ht="16" hidden="1" thickBot="1" x14ac:dyDescent="0.25">
      <c r="A185" s="13" t="s">
        <v>261</v>
      </c>
      <c r="B185" s="14" t="s">
        <v>72</v>
      </c>
      <c r="C185" s="14" t="s">
        <v>72</v>
      </c>
      <c r="D185" s="14" t="s">
        <v>72</v>
      </c>
      <c r="E185" s="14" t="s">
        <v>72</v>
      </c>
      <c r="F185" s="14" t="s">
        <v>72</v>
      </c>
      <c r="G185" s="14" t="s">
        <v>72</v>
      </c>
      <c r="H185" s="14" t="s">
        <v>72</v>
      </c>
    </row>
    <row r="186" spans="1:8" ht="16" hidden="1" thickBot="1" x14ac:dyDescent="0.25">
      <c r="A186" s="13" t="s">
        <v>262</v>
      </c>
      <c r="B186" s="14" t="s">
        <v>72</v>
      </c>
      <c r="C186" s="14" t="s">
        <v>72</v>
      </c>
      <c r="D186" s="14" t="s">
        <v>72</v>
      </c>
      <c r="E186" s="14" t="s">
        <v>72</v>
      </c>
      <c r="F186" s="14" t="s">
        <v>72</v>
      </c>
      <c r="G186" s="14" t="s">
        <v>72</v>
      </c>
      <c r="H186" s="14" t="s">
        <v>72</v>
      </c>
    </row>
    <row r="187" spans="1:8" ht="16" hidden="1" thickBot="1" x14ac:dyDescent="0.25">
      <c r="A187" s="13" t="s">
        <v>263</v>
      </c>
      <c r="B187" s="14" t="s">
        <v>72</v>
      </c>
      <c r="C187" s="14" t="s">
        <v>72</v>
      </c>
      <c r="D187" s="14" t="s">
        <v>72</v>
      </c>
      <c r="E187" s="14" t="s">
        <v>72</v>
      </c>
      <c r="F187" s="14" t="s">
        <v>72</v>
      </c>
      <c r="G187" s="14" t="s">
        <v>72</v>
      </c>
      <c r="H187" s="14" t="s">
        <v>72</v>
      </c>
    </row>
    <row r="188" spans="1:8" ht="16" hidden="1" thickBot="1" x14ac:dyDescent="0.25">
      <c r="A188" s="13" t="s">
        <v>264</v>
      </c>
      <c r="B188" s="14" t="s">
        <v>72</v>
      </c>
      <c r="C188" s="14" t="s">
        <v>72</v>
      </c>
      <c r="D188" s="14" t="s">
        <v>72</v>
      </c>
      <c r="E188" s="14" t="s">
        <v>72</v>
      </c>
      <c r="F188" s="14" t="s">
        <v>72</v>
      </c>
      <c r="G188" s="14" t="s">
        <v>72</v>
      </c>
      <c r="H188" s="14" t="s">
        <v>72</v>
      </c>
    </row>
    <row r="189" spans="1:8" ht="16" hidden="1" thickBot="1" x14ac:dyDescent="0.25">
      <c r="A189" s="13" t="s">
        <v>265</v>
      </c>
      <c r="B189" s="14" t="s">
        <v>72</v>
      </c>
      <c r="C189" s="14" t="s">
        <v>72</v>
      </c>
      <c r="D189" s="14" t="s">
        <v>72</v>
      </c>
      <c r="E189" s="14" t="s">
        <v>72</v>
      </c>
      <c r="F189" s="14" t="s">
        <v>72</v>
      </c>
      <c r="G189" s="14" t="s">
        <v>72</v>
      </c>
      <c r="H189" s="14" t="s">
        <v>72</v>
      </c>
    </row>
    <row r="190" spans="1:8" ht="16" hidden="1" thickBot="1" x14ac:dyDescent="0.25">
      <c r="A190" s="13" t="s">
        <v>266</v>
      </c>
      <c r="B190" s="14" t="s">
        <v>72</v>
      </c>
      <c r="C190" s="14" t="s">
        <v>72</v>
      </c>
      <c r="D190" s="14" t="s">
        <v>72</v>
      </c>
      <c r="E190" s="14" t="s">
        <v>72</v>
      </c>
      <c r="F190" s="14" t="s">
        <v>72</v>
      </c>
      <c r="G190" s="14" t="s">
        <v>72</v>
      </c>
      <c r="H190" s="14" t="s">
        <v>72</v>
      </c>
    </row>
    <row r="191" spans="1:8" ht="16" hidden="1" thickBot="1" x14ac:dyDescent="0.25">
      <c r="A191" s="13" t="s">
        <v>267</v>
      </c>
      <c r="B191" s="14">
        <v>2460448</v>
      </c>
      <c r="C191" s="14">
        <v>1785852</v>
      </c>
      <c r="D191" s="14">
        <v>2309050</v>
      </c>
      <c r="E191" s="14">
        <v>2789697</v>
      </c>
      <c r="F191" s="14">
        <v>3133281</v>
      </c>
      <c r="G191" s="14">
        <v>5291572</v>
      </c>
      <c r="H191" s="14">
        <v>2842970</v>
      </c>
    </row>
    <row r="192" spans="1:8" ht="16" hidden="1" thickBot="1" x14ac:dyDescent="0.25">
      <c r="A192" s="13" t="s">
        <v>268</v>
      </c>
      <c r="B192" s="14" t="s">
        <v>72</v>
      </c>
      <c r="C192" s="14" t="s">
        <v>72</v>
      </c>
      <c r="D192" s="14" t="s">
        <v>72</v>
      </c>
      <c r="E192" s="14" t="s">
        <v>72</v>
      </c>
      <c r="F192" s="14" t="s">
        <v>72</v>
      </c>
      <c r="G192" s="14" t="s">
        <v>72</v>
      </c>
      <c r="H192" s="14" t="s">
        <v>72</v>
      </c>
    </row>
    <row r="193" spans="1:8" ht="16" hidden="1" thickBot="1" x14ac:dyDescent="0.25">
      <c r="A193" s="13" t="s">
        <v>269</v>
      </c>
      <c r="B193" s="14" t="s">
        <v>72</v>
      </c>
      <c r="C193" s="14" t="s">
        <v>72</v>
      </c>
      <c r="D193" s="14" t="s">
        <v>72</v>
      </c>
      <c r="E193" s="14" t="s">
        <v>72</v>
      </c>
      <c r="F193" s="14" t="s">
        <v>72</v>
      </c>
      <c r="G193" s="14" t="s">
        <v>72</v>
      </c>
      <c r="H193" s="14" t="s">
        <v>72</v>
      </c>
    </row>
    <row r="194" spans="1:8" ht="16" hidden="1" thickBot="1" x14ac:dyDescent="0.25">
      <c r="A194" s="13" t="s">
        <v>270</v>
      </c>
      <c r="B194" s="14" t="s">
        <v>72</v>
      </c>
      <c r="C194" s="14" t="s">
        <v>72</v>
      </c>
      <c r="D194" s="14" t="s">
        <v>72</v>
      </c>
      <c r="E194" s="14" t="s">
        <v>72</v>
      </c>
      <c r="F194" s="14" t="s">
        <v>72</v>
      </c>
      <c r="G194" s="14" t="s">
        <v>72</v>
      </c>
      <c r="H194" s="14" t="s">
        <v>72</v>
      </c>
    </row>
    <row r="195" spans="1:8" ht="16" hidden="1" thickBot="1" x14ac:dyDescent="0.25">
      <c r="A195" s="13" t="s">
        <v>271</v>
      </c>
      <c r="B195" s="14" t="s">
        <v>72</v>
      </c>
      <c r="C195" s="14" t="s">
        <v>72</v>
      </c>
      <c r="D195" s="14" t="s">
        <v>72</v>
      </c>
      <c r="E195" s="14" t="s">
        <v>72</v>
      </c>
      <c r="F195" s="14" t="s">
        <v>72</v>
      </c>
      <c r="G195" s="14" t="s">
        <v>72</v>
      </c>
      <c r="H195" s="14" t="s">
        <v>72</v>
      </c>
    </row>
    <row r="196" spans="1:8" ht="16" hidden="1" thickBot="1" x14ac:dyDescent="0.25">
      <c r="A196" s="13" t="s">
        <v>272</v>
      </c>
      <c r="B196" s="14" t="s">
        <v>72</v>
      </c>
      <c r="C196" s="14" t="s">
        <v>72</v>
      </c>
      <c r="D196" s="14" t="s">
        <v>72</v>
      </c>
      <c r="E196" s="14" t="s">
        <v>72</v>
      </c>
      <c r="F196" s="14" t="s">
        <v>72</v>
      </c>
      <c r="G196" s="14" t="s">
        <v>72</v>
      </c>
      <c r="H196" s="14" t="s">
        <v>72</v>
      </c>
    </row>
    <row r="197" spans="1:8" ht="16" hidden="1" thickBot="1" x14ac:dyDescent="0.25">
      <c r="A197" s="13" t="s">
        <v>273</v>
      </c>
      <c r="B197" s="14" t="s">
        <v>72</v>
      </c>
      <c r="C197" s="14" t="s">
        <v>72</v>
      </c>
      <c r="D197" s="14" t="s">
        <v>72</v>
      </c>
      <c r="E197" s="14" t="s">
        <v>72</v>
      </c>
      <c r="F197" s="14" t="s">
        <v>72</v>
      </c>
      <c r="G197" s="14" t="s">
        <v>72</v>
      </c>
      <c r="H197" s="14" t="s">
        <v>72</v>
      </c>
    </row>
    <row r="198" spans="1:8" ht="16" hidden="1" thickBot="1" x14ac:dyDescent="0.25">
      <c r="A198" s="13" t="s">
        <v>274</v>
      </c>
      <c r="B198" s="14" t="s">
        <v>72</v>
      </c>
      <c r="C198" s="14" t="s">
        <v>72</v>
      </c>
      <c r="D198" s="14" t="s">
        <v>72</v>
      </c>
      <c r="E198" s="14" t="s">
        <v>72</v>
      </c>
      <c r="F198" s="14" t="s">
        <v>72</v>
      </c>
      <c r="G198" s="14" t="s">
        <v>72</v>
      </c>
      <c r="H198" s="14" t="s">
        <v>72</v>
      </c>
    </row>
    <row r="199" spans="1:8" ht="16" hidden="1" thickBot="1" x14ac:dyDescent="0.25">
      <c r="A199" s="13" t="s">
        <v>275</v>
      </c>
      <c r="B199" s="14">
        <v>976817</v>
      </c>
      <c r="C199" s="14">
        <v>534926</v>
      </c>
      <c r="D199" s="14">
        <v>2019737</v>
      </c>
      <c r="E199" s="14">
        <v>2339380</v>
      </c>
      <c r="F199" s="14">
        <v>1007689</v>
      </c>
      <c r="G199" s="14">
        <v>3138762</v>
      </c>
      <c r="H199" s="14">
        <v>3539880</v>
      </c>
    </row>
    <row r="200" spans="1:8" ht="16" hidden="1" thickBot="1" x14ac:dyDescent="0.25">
      <c r="A200" s="13" t="s">
        <v>276</v>
      </c>
      <c r="B200" s="14">
        <v>514095</v>
      </c>
      <c r="C200" s="14">
        <v>755611</v>
      </c>
      <c r="D200" s="14">
        <v>1093346</v>
      </c>
      <c r="E200" s="14">
        <v>1231770</v>
      </c>
      <c r="F200" s="14">
        <v>1171807</v>
      </c>
      <c r="G200" s="14">
        <v>1506602</v>
      </c>
      <c r="H200" s="14">
        <v>1836089</v>
      </c>
    </row>
    <row r="201" spans="1:8" ht="16" hidden="1" thickBot="1" x14ac:dyDescent="0.25">
      <c r="A201" s="13" t="s">
        <v>277</v>
      </c>
      <c r="B201" s="14" t="s">
        <v>72</v>
      </c>
      <c r="C201" s="14" t="s">
        <v>72</v>
      </c>
      <c r="D201" s="14" t="s">
        <v>72</v>
      </c>
      <c r="E201" s="14" t="s">
        <v>72</v>
      </c>
      <c r="F201" s="14" t="s">
        <v>72</v>
      </c>
      <c r="G201" s="14" t="s">
        <v>72</v>
      </c>
      <c r="H201" s="14" t="s">
        <v>72</v>
      </c>
    </row>
    <row r="202" spans="1:8" ht="16" hidden="1" thickBot="1" x14ac:dyDescent="0.25">
      <c r="A202" s="13" t="s">
        <v>278</v>
      </c>
      <c r="B202" s="14" t="s">
        <v>72</v>
      </c>
      <c r="C202" s="14" t="s">
        <v>72</v>
      </c>
      <c r="D202" s="14" t="s">
        <v>72</v>
      </c>
      <c r="E202" s="14" t="s">
        <v>72</v>
      </c>
      <c r="F202" s="14" t="s">
        <v>72</v>
      </c>
      <c r="G202" s="14" t="s">
        <v>72</v>
      </c>
      <c r="H202" s="14" t="s">
        <v>72</v>
      </c>
    </row>
    <row r="203" spans="1:8" ht="16" hidden="1" thickBot="1" x14ac:dyDescent="0.25">
      <c r="A203" s="13" t="s">
        <v>279</v>
      </c>
      <c r="B203" s="14" t="s">
        <v>72</v>
      </c>
      <c r="C203" s="14" t="s">
        <v>72</v>
      </c>
      <c r="D203" s="14" t="s">
        <v>72</v>
      </c>
      <c r="E203" s="14" t="s">
        <v>72</v>
      </c>
      <c r="F203" s="14" t="s">
        <v>72</v>
      </c>
      <c r="G203" s="14" t="s">
        <v>72</v>
      </c>
      <c r="H203" s="14" t="s">
        <v>72</v>
      </c>
    </row>
    <row r="204" spans="1:8" ht="16" hidden="1" thickBot="1" x14ac:dyDescent="0.25">
      <c r="A204" s="13" t="s">
        <v>280</v>
      </c>
      <c r="B204" s="14" t="s">
        <v>72</v>
      </c>
      <c r="C204" s="14" t="s">
        <v>72</v>
      </c>
      <c r="D204" s="14" t="s">
        <v>72</v>
      </c>
      <c r="E204" s="14" t="s">
        <v>72</v>
      </c>
      <c r="F204" s="14" t="s">
        <v>72</v>
      </c>
      <c r="G204" s="14" t="s">
        <v>72</v>
      </c>
      <c r="H204" s="14" t="s">
        <v>72</v>
      </c>
    </row>
    <row r="205" spans="1:8" ht="16" hidden="1" thickBot="1" x14ac:dyDescent="0.25">
      <c r="A205" s="13" t="s">
        <v>281</v>
      </c>
      <c r="B205" s="14" t="s">
        <v>72</v>
      </c>
      <c r="C205" s="14" t="s">
        <v>72</v>
      </c>
      <c r="D205" s="14" t="s">
        <v>72</v>
      </c>
      <c r="E205" s="14" t="s">
        <v>72</v>
      </c>
      <c r="F205" s="14" t="s">
        <v>72</v>
      </c>
      <c r="G205" s="14" t="s">
        <v>72</v>
      </c>
      <c r="H205" s="14" t="s">
        <v>72</v>
      </c>
    </row>
    <row r="206" spans="1:8" ht="16" hidden="1" thickBot="1" x14ac:dyDescent="0.25">
      <c r="A206" s="13" t="s">
        <v>282</v>
      </c>
      <c r="B206" s="22" t="s">
        <v>72</v>
      </c>
      <c r="C206" s="22" t="s">
        <v>72</v>
      </c>
      <c r="D206" s="22" t="s">
        <v>72</v>
      </c>
      <c r="E206" s="22" t="s">
        <v>72</v>
      </c>
      <c r="F206" s="22" t="s">
        <v>72</v>
      </c>
      <c r="G206" s="22" t="s">
        <v>72</v>
      </c>
      <c r="H206" s="22" t="s">
        <v>72</v>
      </c>
    </row>
    <row r="207" spans="1:8" ht="16" hidden="1" thickBot="1" x14ac:dyDescent="0.25">
      <c r="A207" s="13" t="s">
        <v>283</v>
      </c>
      <c r="B207" s="21" t="s">
        <v>72</v>
      </c>
      <c r="C207" s="21" t="s">
        <v>72</v>
      </c>
      <c r="D207" s="21" t="s">
        <v>72</v>
      </c>
      <c r="E207" s="21" t="s">
        <v>72</v>
      </c>
      <c r="F207" s="21" t="s">
        <v>72</v>
      </c>
      <c r="G207" s="21" t="s">
        <v>72</v>
      </c>
      <c r="H207" s="21" t="s">
        <v>72</v>
      </c>
    </row>
    <row r="208" spans="1:8" ht="16" hidden="1" thickBot="1" x14ac:dyDescent="0.25">
      <c r="A208" s="13" t="s">
        <v>284</v>
      </c>
      <c r="B208" s="21" t="s">
        <v>72</v>
      </c>
      <c r="C208" s="21" t="s">
        <v>72</v>
      </c>
      <c r="D208" s="21" t="s">
        <v>72</v>
      </c>
      <c r="E208" s="21" t="s">
        <v>72</v>
      </c>
      <c r="F208" s="21" t="s">
        <v>72</v>
      </c>
      <c r="G208" s="21" t="s">
        <v>72</v>
      </c>
      <c r="H208" s="21" t="s">
        <v>72</v>
      </c>
    </row>
    <row r="209" spans="1:8" ht="16" hidden="1" thickBot="1" x14ac:dyDescent="0.25">
      <c r="A209" s="13" t="s">
        <v>285</v>
      </c>
      <c r="B209" s="14" t="s">
        <v>72</v>
      </c>
      <c r="C209" s="14" t="s">
        <v>72</v>
      </c>
      <c r="D209" s="14" t="s">
        <v>72</v>
      </c>
      <c r="E209" s="14" t="s">
        <v>72</v>
      </c>
      <c r="F209" s="14" t="s">
        <v>72</v>
      </c>
      <c r="G209" s="14" t="s">
        <v>72</v>
      </c>
      <c r="H209" s="14" t="s">
        <v>72</v>
      </c>
    </row>
    <row r="210" spans="1:8" ht="16" hidden="1" thickBot="1" x14ac:dyDescent="0.25">
      <c r="A210" s="13" t="s">
        <v>286</v>
      </c>
      <c r="B210" s="14" t="s">
        <v>72</v>
      </c>
      <c r="C210" s="14" t="s">
        <v>72</v>
      </c>
      <c r="D210" s="14" t="s">
        <v>72</v>
      </c>
      <c r="E210" s="14" t="s">
        <v>72</v>
      </c>
      <c r="F210" s="14" t="s">
        <v>72</v>
      </c>
      <c r="G210" s="14" t="s">
        <v>72</v>
      </c>
      <c r="H210" s="14" t="s">
        <v>72</v>
      </c>
    </row>
    <row r="211" spans="1:8" ht="16" hidden="1" thickBot="1" x14ac:dyDescent="0.25">
      <c r="A211" s="13" t="s">
        <v>287</v>
      </c>
      <c r="B211" s="14" t="s">
        <v>72</v>
      </c>
      <c r="C211" s="14" t="s">
        <v>72</v>
      </c>
      <c r="D211" s="14" t="s">
        <v>72</v>
      </c>
      <c r="E211" s="14" t="s">
        <v>72</v>
      </c>
      <c r="F211" s="14" t="s">
        <v>72</v>
      </c>
      <c r="G211" s="14" t="s">
        <v>72</v>
      </c>
      <c r="H211" s="14" t="s">
        <v>72</v>
      </c>
    </row>
    <row r="212" spans="1:8" hidden="1" x14ac:dyDescent="0.2">
      <c r="A212" s="13" t="s">
        <v>288</v>
      </c>
      <c r="B212" s="14" t="s">
        <v>72</v>
      </c>
      <c r="C212" s="14" t="s">
        <v>72</v>
      </c>
      <c r="D212" s="14" t="s">
        <v>72</v>
      </c>
      <c r="E212" s="14" t="s">
        <v>72</v>
      </c>
      <c r="F212" s="14" t="s">
        <v>72</v>
      </c>
      <c r="G212" s="14" t="s">
        <v>72</v>
      </c>
      <c r="H212" s="14" t="s">
        <v>72</v>
      </c>
    </row>
    <row r="213" spans="1:8" ht="12" hidden="1" customHeight="1" thickBot="1" x14ac:dyDescent="0.25">
      <c r="A213" s="12" t="s">
        <v>289</v>
      </c>
      <c r="B213" s="12"/>
      <c r="C213" s="12"/>
      <c r="D213" s="12"/>
      <c r="E213" s="12"/>
      <c r="F213" s="12"/>
      <c r="G213" s="12"/>
      <c r="H213" s="12"/>
    </row>
    <row r="214" spans="1:8" ht="16" hidden="1" thickBot="1" x14ac:dyDescent="0.25">
      <c r="A214" s="13" t="s">
        <v>290</v>
      </c>
      <c r="B214" s="14" t="s">
        <v>72</v>
      </c>
      <c r="C214" s="14" t="s">
        <v>72</v>
      </c>
      <c r="D214" s="14" t="s">
        <v>72</v>
      </c>
      <c r="E214" s="14" t="s">
        <v>72</v>
      </c>
      <c r="F214" s="14" t="s">
        <v>72</v>
      </c>
      <c r="G214" s="14" t="s">
        <v>72</v>
      </c>
      <c r="H214" s="14" t="s">
        <v>72</v>
      </c>
    </row>
    <row r="215" spans="1:8" ht="16" hidden="1" thickBot="1" x14ac:dyDescent="0.25">
      <c r="A215" s="13" t="s">
        <v>291</v>
      </c>
      <c r="B215" s="14" t="s">
        <v>72</v>
      </c>
      <c r="C215" s="14" t="s">
        <v>72</v>
      </c>
      <c r="D215" s="14" t="s">
        <v>72</v>
      </c>
      <c r="E215" s="14" t="s">
        <v>72</v>
      </c>
      <c r="F215" s="14" t="s">
        <v>72</v>
      </c>
      <c r="G215" s="14" t="s">
        <v>72</v>
      </c>
      <c r="H215" s="14" t="s">
        <v>72</v>
      </c>
    </row>
    <row r="216" spans="1:8" ht="16" hidden="1" thickBot="1" x14ac:dyDescent="0.25">
      <c r="A216" s="15" t="s">
        <v>292</v>
      </c>
      <c r="B216" s="16" t="s">
        <v>72</v>
      </c>
      <c r="C216" s="16" t="s">
        <v>72</v>
      </c>
      <c r="D216" s="16">
        <v>892397</v>
      </c>
      <c r="E216" s="16">
        <v>1195484</v>
      </c>
      <c r="F216" s="16">
        <v>1294343</v>
      </c>
      <c r="G216" s="16">
        <v>1674120</v>
      </c>
      <c r="H216" s="16">
        <v>2118562</v>
      </c>
    </row>
    <row r="217" spans="1:8" ht="16" hidden="1" thickBot="1" x14ac:dyDescent="0.25">
      <c r="A217" s="17" t="s">
        <v>293</v>
      </c>
      <c r="B217" s="18" t="s">
        <v>72</v>
      </c>
      <c r="C217" s="18" t="s">
        <v>72</v>
      </c>
      <c r="D217" s="18">
        <v>310228</v>
      </c>
      <c r="E217" s="18">
        <v>386394</v>
      </c>
      <c r="F217" s="18">
        <v>505874</v>
      </c>
      <c r="G217" s="18">
        <v>530184</v>
      </c>
      <c r="H217" s="18">
        <v>717558</v>
      </c>
    </row>
    <row r="218" spans="1:8" ht="16" hidden="1" thickBot="1" x14ac:dyDescent="0.25">
      <c r="A218" s="17" t="s">
        <v>294</v>
      </c>
      <c r="B218" s="18" t="s">
        <v>72</v>
      </c>
      <c r="C218" s="18" t="s">
        <v>72</v>
      </c>
      <c r="D218" s="18">
        <v>144213</v>
      </c>
      <c r="E218" s="18">
        <v>195884</v>
      </c>
      <c r="F218" s="18">
        <v>189301</v>
      </c>
      <c r="G218" s="18">
        <v>285984</v>
      </c>
      <c r="H218" s="18">
        <v>349596</v>
      </c>
    </row>
    <row r="219" spans="1:8" ht="16" hidden="1" thickBot="1" x14ac:dyDescent="0.25">
      <c r="A219" s="17" t="s">
        <v>295</v>
      </c>
      <c r="B219" s="18" t="s">
        <v>72</v>
      </c>
      <c r="C219" s="18" t="s">
        <v>72</v>
      </c>
      <c r="D219" s="18">
        <v>144213</v>
      </c>
      <c r="E219" s="18">
        <v>195884</v>
      </c>
      <c r="F219" s="18">
        <v>189301</v>
      </c>
      <c r="G219" s="18">
        <v>285984</v>
      </c>
      <c r="H219" s="18">
        <v>349596</v>
      </c>
    </row>
    <row r="220" spans="1:8" ht="16" hidden="1" thickBot="1" x14ac:dyDescent="0.25">
      <c r="A220" s="17" t="s">
        <v>296</v>
      </c>
      <c r="B220" s="18" t="s">
        <v>72</v>
      </c>
      <c r="C220" s="18" t="s">
        <v>72</v>
      </c>
      <c r="D220" s="18">
        <v>144213</v>
      </c>
      <c r="E220" s="18">
        <v>195884</v>
      </c>
      <c r="F220" s="18">
        <v>189301</v>
      </c>
      <c r="G220" s="18">
        <v>285984</v>
      </c>
      <c r="H220" s="18">
        <v>349596</v>
      </c>
    </row>
    <row r="221" spans="1:8" ht="16" hidden="1" thickBot="1" x14ac:dyDescent="0.25">
      <c r="A221" s="17" t="s">
        <v>297</v>
      </c>
      <c r="B221" s="18" t="s">
        <v>72</v>
      </c>
      <c r="C221" s="18" t="s">
        <v>72</v>
      </c>
      <c r="D221" s="18">
        <v>144213</v>
      </c>
      <c r="E221" s="18">
        <v>195884</v>
      </c>
      <c r="F221" s="18">
        <v>189301</v>
      </c>
      <c r="G221" s="18">
        <v>285984</v>
      </c>
      <c r="H221" s="18">
        <v>349596</v>
      </c>
    </row>
    <row r="222" spans="1:8" ht="16" hidden="1" thickBot="1" x14ac:dyDescent="0.25">
      <c r="A222" s="17" t="s">
        <v>298</v>
      </c>
      <c r="B222" s="18" t="s">
        <v>72</v>
      </c>
      <c r="C222" s="18" t="s">
        <v>72</v>
      </c>
      <c r="D222" s="18">
        <v>288426</v>
      </c>
      <c r="E222" s="18">
        <v>391768</v>
      </c>
      <c r="F222" s="18">
        <v>378601</v>
      </c>
      <c r="G222" s="18">
        <v>571968</v>
      </c>
      <c r="H222" s="18">
        <v>699192</v>
      </c>
    </row>
    <row r="223" spans="1:8" ht="16" hidden="1" thickBot="1" x14ac:dyDescent="0.25">
      <c r="A223" s="17" t="s">
        <v>299</v>
      </c>
      <c r="B223" s="18" t="s">
        <v>72</v>
      </c>
      <c r="C223" s="18" t="s">
        <v>72</v>
      </c>
      <c r="D223" s="18">
        <v>288426</v>
      </c>
      <c r="E223" s="18">
        <v>391768</v>
      </c>
      <c r="F223" s="18">
        <v>378601</v>
      </c>
      <c r="G223" s="18">
        <v>571968</v>
      </c>
      <c r="H223" s="18">
        <v>699192</v>
      </c>
    </row>
    <row r="224" spans="1:8" ht="16" hidden="1" thickBot="1" x14ac:dyDescent="0.25">
      <c r="A224" s="17" t="s">
        <v>300</v>
      </c>
      <c r="B224" s="18" t="s">
        <v>72</v>
      </c>
      <c r="C224" s="18" t="s">
        <v>72</v>
      </c>
      <c r="D224" s="18">
        <v>5318</v>
      </c>
      <c r="E224" s="18">
        <v>25552</v>
      </c>
      <c r="F224" s="18">
        <v>31266</v>
      </c>
      <c r="G224" s="18">
        <v>0</v>
      </c>
      <c r="H224" s="18">
        <v>2619</v>
      </c>
    </row>
    <row r="225" spans="1:8" ht="16" hidden="1" thickBot="1" x14ac:dyDescent="0.25">
      <c r="A225" s="13" t="s">
        <v>301</v>
      </c>
      <c r="B225" s="14" t="s">
        <v>72</v>
      </c>
      <c r="C225" s="14" t="s">
        <v>72</v>
      </c>
      <c r="D225" s="14" t="s">
        <v>72</v>
      </c>
      <c r="E225" s="14" t="s">
        <v>72</v>
      </c>
      <c r="F225" s="14" t="s">
        <v>72</v>
      </c>
      <c r="G225" s="14" t="s">
        <v>72</v>
      </c>
      <c r="H225" s="14" t="s">
        <v>72</v>
      </c>
    </row>
    <row r="226" spans="1:8" ht="16" hidden="1" thickBot="1" x14ac:dyDescent="0.25">
      <c r="A226" s="13" t="s">
        <v>302</v>
      </c>
      <c r="B226" s="14" t="s">
        <v>72</v>
      </c>
      <c r="C226" s="14" t="s">
        <v>72</v>
      </c>
      <c r="D226" s="14" t="s">
        <v>72</v>
      </c>
      <c r="E226" s="14" t="s">
        <v>72</v>
      </c>
      <c r="F226" s="14" t="s">
        <v>72</v>
      </c>
      <c r="G226" s="14" t="s">
        <v>72</v>
      </c>
      <c r="H226" s="14" t="s">
        <v>72</v>
      </c>
    </row>
    <row r="227" spans="1:8" ht="16" hidden="1" thickBot="1" x14ac:dyDescent="0.25">
      <c r="A227" s="13" t="s">
        <v>303</v>
      </c>
      <c r="B227" s="14" t="s">
        <v>72</v>
      </c>
      <c r="C227" s="14" t="s">
        <v>72</v>
      </c>
      <c r="D227" s="14" t="s">
        <v>72</v>
      </c>
      <c r="E227" s="14" t="s">
        <v>72</v>
      </c>
      <c r="F227" s="14" t="s">
        <v>72</v>
      </c>
      <c r="G227" s="14" t="s">
        <v>72</v>
      </c>
      <c r="H227" s="14" t="s">
        <v>72</v>
      </c>
    </row>
    <row r="228" spans="1:8" ht="16" hidden="1" thickBot="1" x14ac:dyDescent="0.25">
      <c r="A228" s="13" t="s">
        <v>304</v>
      </c>
      <c r="B228" s="14" t="s">
        <v>72</v>
      </c>
      <c r="C228" s="14" t="s">
        <v>72</v>
      </c>
      <c r="D228" s="14" t="s">
        <v>72</v>
      </c>
      <c r="E228" s="14" t="s">
        <v>72</v>
      </c>
      <c r="F228" s="14" t="s">
        <v>72</v>
      </c>
      <c r="G228" s="14" t="s">
        <v>72</v>
      </c>
      <c r="H228" s="14" t="s">
        <v>72</v>
      </c>
    </row>
    <row r="229" spans="1:8" ht="16" hidden="1" thickBot="1" x14ac:dyDescent="0.25">
      <c r="A229" s="13" t="s">
        <v>305</v>
      </c>
      <c r="B229" s="14" t="s">
        <v>72</v>
      </c>
      <c r="C229" s="14" t="s">
        <v>72</v>
      </c>
      <c r="D229" s="14" t="s">
        <v>72</v>
      </c>
      <c r="E229" s="14" t="s">
        <v>72</v>
      </c>
      <c r="F229" s="14" t="s">
        <v>72</v>
      </c>
      <c r="G229" s="14" t="s">
        <v>72</v>
      </c>
      <c r="H229" s="14" t="s">
        <v>72</v>
      </c>
    </row>
    <row r="230" spans="1:8" ht="16" hidden="1" thickBot="1" x14ac:dyDescent="0.25">
      <c r="A230" s="13" t="s">
        <v>306</v>
      </c>
      <c r="B230" s="14" t="s">
        <v>72</v>
      </c>
      <c r="C230" s="14" t="s">
        <v>72</v>
      </c>
      <c r="D230" s="14" t="s">
        <v>72</v>
      </c>
      <c r="E230" s="14" t="s">
        <v>72</v>
      </c>
      <c r="F230" s="14" t="s">
        <v>72</v>
      </c>
      <c r="G230" s="14" t="s">
        <v>72</v>
      </c>
      <c r="H230" s="14" t="s">
        <v>72</v>
      </c>
    </row>
    <row r="231" spans="1:8" hidden="1" x14ac:dyDescent="0.2">
      <c r="A231" s="13" t="s">
        <v>307</v>
      </c>
      <c r="B231" s="14" t="s">
        <v>72</v>
      </c>
      <c r="C231" s="14" t="s">
        <v>72</v>
      </c>
      <c r="D231" s="14" t="s">
        <v>72</v>
      </c>
      <c r="E231" s="14" t="s">
        <v>72</v>
      </c>
      <c r="F231" s="14" t="s">
        <v>72</v>
      </c>
      <c r="G231" s="14" t="s">
        <v>72</v>
      </c>
      <c r="H231" s="14" t="s">
        <v>72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D515-8EC3-3142-BA01-DDF1D622F951}">
  <dimension ref="A1:BC451"/>
  <sheetViews>
    <sheetView topLeftCell="A318" zoomScale="59" zoomScaleNormal="75" workbookViewId="0">
      <selection activeCell="M286" sqref="M286"/>
    </sheetView>
  </sheetViews>
  <sheetFormatPr baseColWidth="10" defaultRowHeight="15" x14ac:dyDescent="0.2"/>
  <cols>
    <col min="1" max="1" width="10.83203125" style="193"/>
    <col min="2" max="2" width="42" style="193" customWidth="1"/>
    <col min="3" max="3" width="18.33203125" style="193" customWidth="1"/>
    <col min="4" max="4" width="13" style="193" customWidth="1"/>
    <col min="5" max="5" width="12.83203125" style="193" bestFit="1" customWidth="1"/>
    <col min="6" max="6" width="12.6640625" style="193" bestFit="1" customWidth="1"/>
    <col min="7" max="8" width="9.83203125" style="193" customWidth="1"/>
    <col min="9" max="9" width="14.1640625" style="193" customWidth="1"/>
    <col min="10" max="16384" width="10.83203125" style="193"/>
  </cols>
  <sheetData>
    <row r="1" spans="1:18" x14ac:dyDescent="0.2">
      <c r="A1" s="193" t="s">
        <v>764</v>
      </c>
      <c r="B1" s="193" t="s">
        <v>829</v>
      </c>
    </row>
    <row r="2" spans="1:18" ht="21" customHeight="1" x14ac:dyDescent="0.25">
      <c r="B2" s="435" t="s">
        <v>769</v>
      </c>
      <c r="C2" s="435"/>
      <c r="D2" s="435"/>
      <c r="E2" s="435"/>
      <c r="F2" s="435"/>
      <c r="G2" s="435"/>
      <c r="H2" s="435"/>
      <c r="I2" s="435"/>
      <c r="J2" s="435"/>
      <c r="Q2" s="193" t="s">
        <v>764</v>
      </c>
      <c r="R2" s="193" t="s">
        <v>899</v>
      </c>
    </row>
    <row r="3" spans="1:18" x14ac:dyDescent="0.2">
      <c r="B3" s="271" t="s">
        <v>770</v>
      </c>
      <c r="C3" s="277" t="s">
        <v>765</v>
      </c>
      <c r="D3" s="277" t="s">
        <v>766</v>
      </c>
      <c r="E3" s="277" t="s">
        <v>767</v>
      </c>
      <c r="F3" s="277" t="s">
        <v>579</v>
      </c>
      <c r="G3" s="277" t="s">
        <v>580</v>
      </c>
      <c r="H3" s="277" t="s">
        <v>581</v>
      </c>
      <c r="I3" s="277" t="s">
        <v>582</v>
      </c>
      <c r="J3" s="277" t="s">
        <v>768</v>
      </c>
    </row>
    <row r="4" spans="1:18" x14ac:dyDescent="0.2">
      <c r="B4" s="278" t="s">
        <v>741</v>
      </c>
      <c r="C4" s="279">
        <f>'Revenue breakdown'!D3</f>
        <v>14661417</v>
      </c>
      <c r="D4" s="279">
        <f>'Revenue breakdown'!E3</f>
        <v>22494961</v>
      </c>
      <c r="E4" s="279">
        <f>'Revenue breakdown'!F3</f>
        <v>30165801</v>
      </c>
      <c r="F4" s="279">
        <f>'Revenue breakdown'!G3</f>
        <v>38384189.300646394</v>
      </c>
      <c r="G4" s="279">
        <f>'Revenue breakdown'!H3</f>
        <v>41212985.466320142</v>
      </c>
      <c r="H4" s="279">
        <f>'Revenue breakdown'!I3</f>
        <v>44442665.924639285</v>
      </c>
      <c r="I4" s="279">
        <f>'Revenue breakdown'!J3</f>
        <v>48159574.816463418</v>
      </c>
      <c r="J4" s="279">
        <f>'Revenue breakdown'!K3</f>
        <v>51416923.319323778</v>
      </c>
    </row>
    <row r="5" spans="1:18" x14ac:dyDescent="0.2">
      <c r="B5" s="278" t="s">
        <v>773</v>
      </c>
      <c r="C5" s="279">
        <f>'FPT Digital Retail JSC | Income'!G89</f>
        <v>24719</v>
      </c>
      <c r="D5" s="279">
        <f>'FPT Digital Retail JSC | Income'!H89</f>
        <v>443732</v>
      </c>
      <c r="E5" s="279">
        <f>'FPT Digital Retail JSC | Income'!I89</f>
        <v>390361</v>
      </c>
      <c r="F5" s="279">
        <f>'FPT Digital Retail JSC | Income'!J89</f>
        <v>536537.70588874537</v>
      </c>
      <c r="G5" s="279">
        <f>'FPT Digital Retail JSC | Income'!K89</f>
        <v>541060.85031526524</v>
      </c>
      <c r="H5" s="279">
        <f>'FPT Digital Retail JSC | Income'!L89</f>
        <v>589088.44823592866</v>
      </c>
      <c r="I5" s="279">
        <f>'FPT Digital Retail JSC | Income'!M89</f>
        <v>762226.13947295723</v>
      </c>
      <c r="J5" s="279">
        <f>'FPT Digital Retail JSC | Income'!N89</f>
        <v>758963.00062601478</v>
      </c>
    </row>
    <row r="6" spans="1:18" x14ac:dyDescent="0.2">
      <c r="B6" s="278" t="s">
        <v>772</v>
      </c>
      <c r="C6" s="279">
        <f>'FPT Digital Retail JSC | Income'!G63</f>
        <v>14319</v>
      </c>
      <c r="D6" s="279">
        <f>'FPT Digital Retail JSC | Income'!H63</f>
        <v>546196</v>
      </c>
      <c r="E6" s="279">
        <f>'FPT Digital Retail JSC | Income'!I63</f>
        <v>473968</v>
      </c>
      <c r="F6" s="279">
        <f>'FPT Digital Retail JSC | Income'!J63</f>
        <v>642551.34901221748</v>
      </c>
      <c r="G6" s="279">
        <f>'FPT Digital Retail JSC | Income'!K63</f>
        <v>610868.14244514517</v>
      </c>
      <c r="H6" s="279">
        <f>'FPT Digital Retail JSC | Income'!L63</f>
        <v>644701.16381907545</v>
      </c>
      <c r="I6" s="279">
        <f>'FPT Digital Retail JSC | Income'!M63</f>
        <v>828937.00210359471</v>
      </c>
      <c r="J6" s="279">
        <f>'FPT Digital Retail JSC | Income'!N63</f>
        <v>812315.18345037743</v>
      </c>
    </row>
    <row r="7" spans="1:18" x14ac:dyDescent="0.2">
      <c r="B7" s="278" t="s">
        <v>771</v>
      </c>
      <c r="C7" s="280">
        <f>'FPT Digital Retail JSC | Income'!G94</f>
        <v>1.6859898330427406E-3</v>
      </c>
      <c r="D7" s="280">
        <f>'FPT Digital Retail JSC | Income'!H94</f>
        <v>1.9725839933663367E-2</v>
      </c>
      <c r="E7" s="280">
        <f>'FPT Digital Retail JSC | Income'!I94</f>
        <v>1.2940514989142837E-2</v>
      </c>
      <c r="F7" s="280">
        <f>'FPT Digital Retail JSC | Income'!J94</f>
        <v>1.3978091387739953E-2</v>
      </c>
      <c r="G7" s="280">
        <f>'FPT Digital Retail JSC | Income'!K94</f>
        <v>1.3128407083185667E-2</v>
      </c>
      <c r="H7" s="280">
        <f>'FPT Digital Retail JSC | Income'!L94</f>
        <v>1.3255020507429426E-2</v>
      </c>
      <c r="I7" s="280">
        <f>'FPT Digital Retail JSC | Income'!M94</f>
        <v>1.5827094453757285E-2</v>
      </c>
      <c r="J7" s="280">
        <f>'FPT Digital Retail JSC | Income'!N94</f>
        <v>1.476095712519573E-2</v>
      </c>
    </row>
    <row r="8" spans="1:18" x14ac:dyDescent="0.2">
      <c r="B8" s="278" t="s">
        <v>774</v>
      </c>
      <c r="C8" s="281">
        <f>'Key financial ratios'!G48</f>
        <v>4.8</v>
      </c>
      <c r="D8" s="281">
        <f>'Key financial ratios'!H48</f>
        <v>5.7</v>
      </c>
      <c r="E8" s="281">
        <f>'Key financial ratios'!I48</f>
        <v>4.5</v>
      </c>
      <c r="F8" s="282">
        <f>'FPT Digital Retail JSC | Income'!J29/'FPT Digital Retail JSC | BS'!I37</f>
        <v>4.1432736297186556</v>
      </c>
      <c r="G8" s="282">
        <f>'FPT Digital Retail JSC | Income'!K29/'FPT Digital Retail JSC | BS'!J37</f>
        <v>4.29152728871553</v>
      </c>
      <c r="H8" s="282">
        <f>'FPT Digital Retail JSC | Income'!L29/'FPT Digital Retail JSC | BS'!K37</f>
        <v>4.2784486402453696</v>
      </c>
      <c r="I8" s="282">
        <f>'FPT Digital Retail JSC | Income'!M29/'FPT Digital Retail JSC | BS'!L37</f>
        <v>4.5450956651255927</v>
      </c>
      <c r="J8" s="282">
        <f>'FPT Digital Retail JSC | Income'!N29/'FPT Digital Retail JSC | BS'!M37</f>
        <v>4.7536243303314887</v>
      </c>
    </row>
    <row r="9" spans="1:18" x14ac:dyDescent="0.2">
      <c r="B9" s="278" t="s">
        <v>775</v>
      </c>
      <c r="C9" s="283">
        <f>'Key financial ratios'!G41</f>
        <v>2.0481953917111442</v>
      </c>
      <c r="D9" s="283">
        <f>'Key financial ratios'!H41</f>
        <v>3.6381764496380717</v>
      </c>
      <c r="E9" s="283">
        <f>'Key financial ratios'!I41</f>
        <v>2.6706743397547394</v>
      </c>
      <c r="F9" s="284"/>
      <c r="G9" s="281"/>
      <c r="H9" s="281"/>
      <c r="I9" s="281"/>
      <c r="J9" s="281"/>
    </row>
    <row r="10" spans="1:18" x14ac:dyDescent="0.2">
      <c r="C10" s="224"/>
    </row>
    <row r="11" spans="1:18" x14ac:dyDescent="0.2">
      <c r="A11" s="193" t="s">
        <v>764</v>
      </c>
      <c r="B11" s="193" t="s">
        <v>828</v>
      </c>
    </row>
    <row r="12" spans="1:18" ht="19" x14ac:dyDescent="0.25">
      <c r="B12" s="435" t="s">
        <v>776</v>
      </c>
      <c r="C12" s="435"/>
    </row>
    <row r="13" spans="1:18" ht="23" customHeight="1" x14ac:dyDescent="0.2">
      <c r="B13" s="271" t="s">
        <v>777</v>
      </c>
      <c r="C13" s="272" t="s">
        <v>784</v>
      </c>
    </row>
    <row r="14" spans="1:18" ht="23" customHeight="1" x14ac:dyDescent="0.2">
      <c r="B14" s="271" t="s">
        <v>778</v>
      </c>
      <c r="C14" s="273" t="s">
        <v>785</v>
      </c>
    </row>
    <row r="15" spans="1:18" ht="23" customHeight="1" x14ac:dyDescent="0.2">
      <c r="B15" s="271" t="s">
        <v>779</v>
      </c>
      <c r="C15" s="274" t="s">
        <v>790</v>
      </c>
    </row>
    <row r="16" spans="1:18" ht="23" customHeight="1" x14ac:dyDescent="0.2">
      <c r="B16" s="271" t="s">
        <v>780</v>
      </c>
      <c r="C16" s="273" t="s">
        <v>786</v>
      </c>
    </row>
    <row r="17" spans="1:24" ht="23" customHeight="1" x14ac:dyDescent="0.2">
      <c r="B17" s="271" t="s">
        <v>781</v>
      </c>
      <c r="C17" s="275">
        <v>0.48499999999999999</v>
      </c>
      <c r="P17" s="193" t="s">
        <v>826</v>
      </c>
      <c r="Q17" s="193" t="s">
        <v>900</v>
      </c>
      <c r="X17" s="193" t="s">
        <v>901</v>
      </c>
    </row>
    <row r="18" spans="1:24" ht="23" customHeight="1" x14ac:dyDescent="0.2">
      <c r="B18" s="271" t="s">
        <v>783</v>
      </c>
      <c r="C18" s="273" t="s">
        <v>787</v>
      </c>
    </row>
    <row r="19" spans="1:24" ht="23" customHeight="1" x14ac:dyDescent="0.2">
      <c r="B19" s="271" t="s">
        <v>782</v>
      </c>
      <c r="C19" s="272" t="s">
        <v>791</v>
      </c>
    </row>
    <row r="20" spans="1:24" ht="23" customHeight="1" x14ac:dyDescent="0.2">
      <c r="B20" s="271" t="s">
        <v>649</v>
      </c>
      <c r="C20" s="273" t="s">
        <v>788</v>
      </c>
    </row>
    <row r="21" spans="1:24" ht="23" customHeight="1" x14ac:dyDescent="0.2">
      <c r="B21" s="271" t="s">
        <v>763</v>
      </c>
      <c r="C21" s="276" t="s">
        <v>789</v>
      </c>
    </row>
    <row r="22" spans="1:24" ht="23" customHeight="1" x14ac:dyDescent="0.2"/>
    <row r="23" spans="1:24" x14ac:dyDescent="0.2">
      <c r="A23" s="193" t="s">
        <v>826</v>
      </c>
      <c r="B23" s="193" t="s">
        <v>827</v>
      </c>
    </row>
    <row r="37" spans="1:27" x14ac:dyDescent="0.2">
      <c r="P37" s="193" t="s">
        <v>826</v>
      </c>
      <c r="Q37" s="193" t="s">
        <v>902</v>
      </c>
    </row>
    <row r="40" spans="1:27" x14ac:dyDescent="0.2">
      <c r="A40" s="193" t="s">
        <v>764</v>
      </c>
      <c r="B40" s="193" t="s">
        <v>830</v>
      </c>
    </row>
    <row r="42" spans="1:27" ht="23" customHeight="1" x14ac:dyDescent="0.25">
      <c r="B42" s="435" t="s">
        <v>831</v>
      </c>
      <c r="C42" s="435"/>
      <c r="Y42" s="193" t="s">
        <v>764</v>
      </c>
    </row>
    <row r="43" spans="1:27" ht="18" customHeight="1" x14ac:dyDescent="0.2">
      <c r="B43" s="277" t="s">
        <v>832</v>
      </c>
      <c r="C43" s="285" t="s">
        <v>834</v>
      </c>
      <c r="Y43" s="193" t="s">
        <v>741</v>
      </c>
      <c r="Z43" s="193">
        <v>2022</v>
      </c>
      <c r="AA43" s="193" t="s">
        <v>579</v>
      </c>
    </row>
    <row r="44" spans="1:27" ht="18" customHeight="1" x14ac:dyDescent="0.2">
      <c r="B44" s="277" t="s">
        <v>833</v>
      </c>
      <c r="C44" s="286" t="s">
        <v>835</v>
      </c>
      <c r="Z44" s="315">
        <f>'Revenue breakdown'!F3</f>
        <v>30165801</v>
      </c>
      <c r="AA44" s="315">
        <f>Z44*113%</f>
        <v>34087355.129999995</v>
      </c>
    </row>
    <row r="45" spans="1:27" ht="18" customHeight="1" x14ac:dyDescent="0.2">
      <c r="B45" s="277" t="s">
        <v>836</v>
      </c>
      <c r="C45" s="287">
        <v>5.0000000000000001E-3</v>
      </c>
      <c r="Y45" s="193" t="s">
        <v>913</v>
      </c>
      <c r="Z45" s="315">
        <f>'FPT Digital Retail JSC | Income'!I74</f>
        <v>485623</v>
      </c>
      <c r="AA45" s="193">
        <f>Z45*49%</f>
        <v>237955.27</v>
      </c>
    </row>
    <row r="46" spans="1:27" ht="41" customHeight="1" x14ac:dyDescent="0.2">
      <c r="B46" s="289" t="s">
        <v>837</v>
      </c>
      <c r="C46" s="286">
        <v>1.95E-2</v>
      </c>
    </row>
    <row r="47" spans="1:27" ht="35" customHeight="1" x14ac:dyDescent="0.2">
      <c r="B47" s="290" t="s">
        <v>838</v>
      </c>
      <c r="C47" s="286">
        <v>1.8700000000000001E-2</v>
      </c>
    </row>
    <row r="48" spans="1:27" ht="29" customHeight="1" x14ac:dyDescent="0.2">
      <c r="B48" s="289" t="s">
        <v>839</v>
      </c>
      <c r="C48" s="286">
        <v>1.78E-2</v>
      </c>
    </row>
    <row r="50" spans="1:16" x14ac:dyDescent="0.2">
      <c r="A50" s="193" t="s">
        <v>826</v>
      </c>
      <c r="B50" s="193" t="s">
        <v>840</v>
      </c>
    </row>
    <row r="54" spans="1:16" x14ac:dyDescent="0.2">
      <c r="P54" s="193" t="s">
        <v>764</v>
      </c>
    </row>
    <row r="67" spans="1:6" x14ac:dyDescent="0.2">
      <c r="A67" s="193" t="s">
        <v>764</v>
      </c>
      <c r="B67" s="193" t="s">
        <v>841</v>
      </c>
    </row>
    <row r="68" spans="1:6" x14ac:dyDescent="0.2">
      <c r="B68" s="193">
        <f>2018</f>
        <v>2018</v>
      </c>
      <c r="C68" s="193">
        <f>B68+1</f>
        <v>2019</v>
      </c>
      <c r="D68" s="193">
        <f t="shared" ref="D68:F68" si="0">C68+1</f>
        <v>2020</v>
      </c>
      <c r="E68" s="193">
        <f t="shared" si="0"/>
        <v>2021</v>
      </c>
      <c r="F68" s="193">
        <f t="shared" si="0"/>
        <v>2022</v>
      </c>
    </row>
    <row r="69" spans="1:6" x14ac:dyDescent="0.2">
      <c r="A69" s="193" t="s">
        <v>842</v>
      </c>
      <c r="B69" s="193">
        <f>100-B70</f>
        <v>84</v>
      </c>
      <c r="C69" s="193">
        <f t="shared" ref="C69:F69" si="1">100-C70</f>
        <v>76.599999999999994</v>
      </c>
      <c r="D69" s="193">
        <f t="shared" si="1"/>
        <v>65</v>
      </c>
      <c r="E69" s="193">
        <f t="shared" si="1"/>
        <v>72</v>
      </c>
      <c r="F69" s="193">
        <f t="shared" si="1"/>
        <v>81</v>
      </c>
    </row>
    <row r="70" spans="1:6" x14ac:dyDescent="0.2">
      <c r="A70" s="193" t="s">
        <v>843</v>
      </c>
      <c r="B70" s="193">
        <v>16</v>
      </c>
      <c r="C70" s="193">
        <v>23.4</v>
      </c>
      <c r="D70" s="193">
        <v>35</v>
      </c>
      <c r="E70" s="193">
        <v>28</v>
      </c>
      <c r="F70" s="193">
        <v>19</v>
      </c>
    </row>
    <row r="87" spans="1:2" x14ac:dyDescent="0.2">
      <c r="A87" s="193" t="s">
        <v>764</v>
      </c>
      <c r="B87" s="193" t="s">
        <v>844</v>
      </c>
    </row>
    <row r="111" spans="1:2" x14ac:dyDescent="0.2">
      <c r="A111" s="193" t="s">
        <v>764</v>
      </c>
      <c r="B111" s="193" t="s">
        <v>845</v>
      </c>
    </row>
    <row r="134" spans="1:55" x14ac:dyDescent="0.2">
      <c r="A134" s="193" t="s">
        <v>764</v>
      </c>
      <c r="B134" s="193" t="s">
        <v>846</v>
      </c>
      <c r="H134" s="193" t="s">
        <v>848</v>
      </c>
      <c r="O134" s="193" t="s">
        <v>723</v>
      </c>
      <c r="W134" s="193" t="s">
        <v>565</v>
      </c>
      <c r="AD134" s="193" t="s">
        <v>774</v>
      </c>
      <c r="AK134" s="193" t="s">
        <v>745</v>
      </c>
      <c r="AR134" s="193" t="s">
        <v>893</v>
      </c>
      <c r="AX134" s="193" t="s">
        <v>910</v>
      </c>
    </row>
    <row r="137" spans="1:55" x14ac:dyDescent="0.2">
      <c r="A137" s="281" t="s">
        <v>716</v>
      </c>
      <c r="B137" s="291">
        <v>0.13358381810831049</v>
      </c>
      <c r="C137" s="163">
        <v>0.12691247303708797</v>
      </c>
      <c r="D137" s="163">
        <v>0.13920905462275576</v>
      </c>
      <c r="E137" s="163">
        <v>0.14009862030878828</v>
      </c>
      <c r="F137" s="163">
        <v>0.15591092707931078</v>
      </c>
      <c r="H137" s="281" t="s">
        <v>716</v>
      </c>
      <c r="I137" s="291">
        <f>'Peers '!B25</f>
        <v>2.6328878273354585E-2</v>
      </c>
      <c r="J137" s="291">
        <f>'Peers '!C25</f>
        <v>1.6401566433970022E-2</v>
      </c>
      <c r="K137" s="291">
        <f>'Peers '!D25</f>
        <v>9.7664502687564228E-4</v>
      </c>
      <c r="L137" s="291">
        <f>'Peers '!E25</f>
        <v>2.4280815601325115E-2</v>
      </c>
      <c r="M137" s="291">
        <f>'Peers '!F25</f>
        <v>1.571209728526685E-2</v>
      </c>
      <c r="O137" s="281" t="s">
        <v>716</v>
      </c>
      <c r="P137" s="291">
        <f>'Peers '!B26</f>
        <v>2.3E-2</v>
      </c>
      <c r="Q137" s="291">
        <f>'Peers '!C26</f>
        <v>1.2E-2</v>
      </c>
      <c r="R137" s="291">
        <f>'Peers '!D26</f>
        <v>1E-3</v>
      </c>
      <c r="S137" s="291">
        <f>'Peers '!E26</f>
        <v>0.02</v>
      </c>
      <c r="T137" s="291">
        <f>'Peers '!F26</f>
        <v>1.2999999999999999E-2</v>
      </c>
      <c r="W137" s="281" t="s">
        <v>716</v>
      </c>
      <c r="X137" s="293">
        <f>'Peers '!I30</f>
        <v>2875.09</v>
      </c>
      <c r="Y137" s="293">
        <f>'Peers '!J30</f>
        <v>2826.83</v>
      </c>
      <c r="Z137" s="293">
        <f>'Peers '!K30</f>
        <v>1913.67</v>
      </c>
      <c r="AA137" s="293">
        <f>'Peers '!L30</f>
        <v>1789.13</v>
      </c>
      <c r="AB137" s="293">
        <f>'Peers '!M30</f>
        <v>87.01</v>
      </c>
      <c r="AD137" s="281" t="s">
        <v>716</v>
      </c>
      <c r="AE137" s="293">
        <f>'Peers '!I29</f>
        <v>6.3</v>
      </c>
      <c r="AF137" s="293">
        <f>'Peers '!J29</f>
        <v>4.9000000000000004</v>
      </c>
      <c r="AG137" s="293">
        <f>'Peers '!K29</f>
        <v>4.8</v>
      </c>
      <c r="AH137" s="293">
        <f>'Peers '!L29</f>
        <v>5.7</v>
      </c>
      <c r="AI137" s="293">
        <f>'Peers '!M29</f>
        <v>4.5</v>
      </c>
      <c r="AK137" s="281" t="s">
        <v>716</v>
      </c>
      <c r="AL137" s="307">
        <f>'Peers '!P31</f>
        <v>0.57999999999999996</v>
      </c>
      <c r="AM137" s="307">
        <f>'Peers '!Q31</f>
        <v>0.53</v>
      </c>
      <c r="AN137" s="307">
        <f>'Peers '!R31</f>
        <v>0.75</v>
      </c>
      <c r="AO137" s="307">
        <f>'Peers '!S31</f>
        <v>0.57999999999999996</v>
      </c>
      <c r="AP137" s="307">
        <f>'Peers '!T31</f>
        <v>0.34</v>
      </c>
      <c r="AS137" s="224"/>
      <c r="AT137" s="224"/>
      <c r="AU137" s="224"/>
      <c r="AV137" s="224"/>
      <c r="AW137" s="224"/>
      <c r="AX137" s="281" t="s">
        <v>716</v>
      </c>
      <c r="AY137" s="307">
        <f>'Peers '!P33</f>
        <v>2.5995027267122546</v>
      </c>
      <c r="AZ137" s="307">
        <f>'Peers '!Q33</f>
        <v>2.9033214364784889</v>
      </c>
      <c r="BA137" s="307">
        <f>'Peers '!R33</f>
        <v>2.0481953917111442</v>
      </c>
      <c r="BB137" s="307">
        <f>'Peers '!S33</f>
        <v>3.6381764496380717</v>
      </c>
      <c r="BC137" s="307">
        <f>'Peers '!T33</f>
        <v>2.6706743397547394</v>
      </c>
    </row>
    <row r="138" spans="1:55" x14ac:dyDescent="0.2">
      <c r="A138" s="281" t="s">
        <v>708</v>
      </c>
      <c r="B138" s="291">
        <v>0.17699999999999999</v>
      </c>
      <c r="C138" s="163">
        <v>0.191</v>
      </c>
      <c r="D138" s="163">
        <v>0.221</v>
      </c>
      <c r="E138" s="163">
        <v>0.22500000000000001</v>
      </c>
      <c r="F138" s="163">
        <v>0.23100000000000001</v>
      </c>
      <c r="H138" s="281" t="s">
        <v>708</v>
      </c>
      <c r="I138" s="291">
        <f>'Peers '!B17</f>
        <v>4.3999999999999997E-2</v>
      </c>
      <c r="J138" s="291">
        <f>'Peers '!C17</f>
        <v>4.9000000000000002E-2</v>
      </c>
      <c r="K138" s="291">
        <f>'Peers '!D17</f>
        <v>0.05</v>
      </c>
      <c r="L138" s="291">
        <f>'Peers '!E17</f>
        <v>5.2999999999999999E-2</v>
      </c>
      <c r="M138" s="291">
        <f>'Peers '!F17</f>
        <v>4.9000000000000002E-2</v>
      </c>
      <c r="O138" s="281" t="s">
        <v>708</v>
      </c>
      <c r="P138" s="291">
        <f>'Peers '!B18</f>
        <v>3.3000000000000002E-2</v>
      </c>
      <c r="Q138" s="291">
        <f>'Peers '!C18</f>
        <v>3.7999999999999999E-2</v>
      </c>
      <c r="R138" s="291">
        <f>'Peers '!D18</f>
        <v>3.5999999999999997E-2</v>
      </c>
      <c r="S138" s="291">
        <f>'Peers '!E18</f>
        <v>0.04</v>
      </c>
      <c r="T138" s="291">
        <f>'Peers '!F18</f>
        <v>3.1E-2</v>
      </c>
      <c r="W138" s="281" t="s">
        <v>708</v>
      </c>
      <c r="X138" s="293">
        <f>'Peers '!I20</f>
        <v>24.6</v>
      </c>
      <c r="Y138" s="293">
        <f>'Peers '!J20</f>
        <v>22.64</v>
      </c>
      <c r="Z138" s="293">
        <f>'Peers '!K20</f>
        <v>16.88</v>
      </c>
      <c r="AA138" s="293">
        <f>'Peers '!L20</f>
        <v>14.43</v>
      </c>
      <c r="AB138" s="293">
        <f>'Peers '!M20</f>
        <v>13.74</v>
      </c>
      <c r="AD138" s="281" t="s">
        <v>708</v>
      </c>
      <c r="AE138" s="293">
        <f>'Peers '!I19</f>
        <v>4.8</v>
      </c>
      <c r="AF138" s="293">
        <f>'Peers '!J19</f>
        <v>3.8</v>
      </c>
      <c r="AG138" s="293">
        <f>'Peers '!K19</f>
        <v>3.7</v>
      </c>
      <c r="AH138" s="293">
        <f>'Peers '!L19</f>
        <v>3.9</v>
      </c>
      <c r="AI138" s="293">
        <f>'Peers '!M19</f>
        <v>3.7</v>
      </c>
      <c r="AK138" s="281" t="s">
        <v>708</v>
      </c>
      <c r="AL138" s="307">
        <f>'Peers '!P19</f>
        <v>0.33</v>
      </c>
      <c r="AM138" s="307">
        <f>'Peers '!Q19</f>
        <v>0.33</v>
      </c>
      <c r="AN138" s="307">
        <f>'Peers '!R19</f>
        <v>0.61</v>
      </c>
      <c r="AO138" s="307">
        <f>'Peers '!S19</f>
        <v>0.54</v>
      </c>
      <c r="AP138" s="307">
        <f>'Peers '!T19</f>
        <v>0.73</v>
      </c>
      <c r="AX138" s="281" t="s">
        <v>708</v>
      </c>
      <c r="AY138" s="307">
        <f>'Peers '!P21</f>
        <v>0.78</v>
      </c>
      <c r="AZ138" s="307">
        <f>'Peers '!Q21</f>
        <v>1.17</v>
      </c>
      <c r="BA138" s="307">
        <f>'Peers '!R21</f>
        <v>1.08</v>
      </c>
      <c r="BB138" s="307">
        <f>'Peers '!S21</f>
        <v>1.21</v>
      </c>
      <c r="BC138" s="307">
        <f>'Peers '!T21</f>
        <v>0.69</v>
      </c>
    </row>
    <row r="139" spans="1:55" x14ac:dyDescent="0.2">
      <c r="A139" s="281" t="s">
        <v>717</v>
      </c>
      <c r="B139" s="292">
        <v>6.2E-2</v>
      </c>
      <c r="C139" s="162">
        <v>6.5000000000000002E-2</v>
      </c>
      <c r="D139" s="162">
        <v>6.4000000000000001E-2</v>
      </c>
      <c r="E139" s="162">
        <v>7.1999999999999995E-2</v>
      </c>
      <c r="F139" s="162">
        <v>7.4999999999999997E-2</v>
      </c>
      <c r="H139" s="281" t="s">
        <v>717</v>
      </c>
      <c r="I139" s="292">
        <f>'Peers '!B13</f>
        <v>2.3E-2</v>
      </c>
      <c r="J139" s="292">
        <f>'Peers '!C13</f>
        <v>2.5000000000000001E-2</v>
      </c>
      <c r="K139" s="292">
        <f>'Peers '!D13</f>
        <v>2.5999999999999999E-2</v>
      </c>
      <c r="L139" s="292">
        <f>'Peers '!E13</f>
        <v>3.9E-2</v>
      </c>
      <c r="M139" s="292">
        <f>'Peers '!F13</f>
        <v>3.9E-2</v>
      </c>
      <c r="O139" s="281" t="s">
        <v>717</v>
      </c>
      <c r="P139" s="292">
        <f>'Peers '!B14</f>
        <v>1.7999999999999999E-2</v>
      </c>
      <c r="Q139" s="292">
        <f>'Peers '!C14</f>
        <v>1.9E-2</v>
      </c>
      <c r="R139" s="292">
        <f>'Peers '!D14</f>
        <v>2.1000000000000001E-2</v>
      </c>
      <c r="S139" s="292">
        <f>'Peers '!E14</f>
        <v>3.1E-2</v>
      </c>
      <c r="T139" s="292">
        <f>'Peers '!F14</f>
        <v>3.1E-2</v>
      </c>
      <c r="W139" s="281" t="s">
        <v>717</v>
      </c>
      <c r="X139" s="294">
        <f>'Peers '!I15</f>
        <v>241.28</v>
      </c>
      <c r="Y139" s="294">
        <f>'Peers '!J15</f>
        <v>398.35</v>
      </c>
      <c r="Z139" s="294">
        <f>'Peers '!K15</f>
        <v>531.29999999999995</v>
      </c>
      <c r="AA139" s="294">
        <f>'Peers '!L15</f>
        <v>678.23</v>
      </c>
      <c r="AB139" s="294">
        <f>'Peers '!M15</f>
        <v>660.47</v>
      </c>
      <c r="AD139" s="281" t="s">
        <v>717</v>
      </c>
      <c r="AE139" s="294">
        <f>'Peers '!I14</f>
        <v>5.0999999999999996</v>
      </c>
      <c r="AF139" s="294">
        <f>'Peers '!J14</f>
        <v>5.7</v>
      </c>
      <c r="AG139" s="294">
        <f>'Peers '!K14</f>
        <v>10.3</v>
      </c>
      <c r="AH139" s="294">
        <f>'Peers '!L14</f>
        <v>10.5</v>
      </c>
      <c r="AI139" s="294">
        <f>'Peers '!M14</f>
        <v>6.6</v>
      </c>
      <c r="AK139" s="281" t="s">
        <v>717</v>
      </c>
      <c r="AL139" s="308">
        <f>'Peers '!P13</f>
        <v>0.55000000000000004</v>
      </c>
      <c r="AM139" s="308">
        <f>'Peers '!Q13</f>
        <v>0.56999999999999995</v>
      </c>
      <c r="AN139" s="308">
        <f>'Peers '!R13</f>
        <v>1.07</v>
      </c>
      <c r="AO139" s="308">
        <f>'Peers '!S13</f>
        <v>0.71</v>
      </c>
      <c r="AP139" s="308">
        <f>'Peers '!T13</f>
        <v>0.65</v>
      </c>
      <c r="AX139" s="281" t="s">
        <v>717</v>
      </c>
      <c r="AY139" s="308">
        <f>'Peers '!P15</f>
        <v>1.0900000000000001</v>
      </c>
      <c r="AZ139" s="308">
        <f>'Peers '!Q15</f>
        <v>0.67</v>
      </c>
      <c r="BA139" s="308">
        <f>'Peers '!R15</f>
        <v>0.54</v>
      </c>
      <c r="BB139" s="308">
        <f>'Peers '!S15</f>
        <v>0.63</v>
      </c>
      <c r="BC139" s="308">
        <f>'Peers '!T15</f>
        <v>0.82</v>
      </c>
    </row>
    <row r="140" spans="1:55" x14ac:dyDescent="0.2">
      <c r="A140" s="281" t="s">
        <v>748</v>
      </c>
      <c r="B140" s="291">
        <v>0.06</v>
      </c>
      <c r="C140" s="163">
        <v>6.0999999999999999E-2</v>
      </c>
      <c r="D140" s="163">
        <v>0.05</v>
      </c>
      <c r="E140" s="163">
        <v>5.2999999999999999E-2</v>
      </c>
      <c r="F140" s="163">
        <v>5.5E-2</v>
      </c>
      <c r="H140" s="281" t="s">
        <v>748</v>
      </c>
      <c r="I140" s="291">
        <f>'Peers '!B21</f>
        <v>1.6E-2</v>
      </c>
      <c r="J140" s="291">
        <f>'Peers '!C21</f>
        <v>0.01</v>
      </c>
      <c r="K140" s="291">
        <f>'Peers '!D21</f>
        <v>1.4999999999999999E-2</v>
      </c>
      <c r="L140" s="291">
        <f>'Peers '!E21</f>
        <v>2.3E-2</v>
      </c>
      <c r="M140" s="291">
        <f>'Peers '!F21</f>
        <v>1.2E-2</v>
      </c>
      <c r="O140" s="281" t="s">
        <v>748</v>
      </c>
      <c r="P140" s="291">
        <f>'Peers '!B22</f>
        <v>1.2E-2</v>
      </c>
      <c r="Q140" s="291">
        <f>'Peers '!C22</f>
        <v>1.2999999999999999E-2</v>
      </c>
      <c r="R140" s="291">
        <f>'Peers '!D22</f>
        <v>0.01</v>
      </c>
      <c r="S140" s="291">
        <f>'Peers '!E22</f>
        <v>1.7999999999999999E-2</v>
      </c>
      <c r="T140" s="291">
        <f>'Peers '!F22</f>
        <v>0.01</v>
      </c>
      <c r="W140" s="281" t="s">
        <v>748</v>
      </c>
      <c r="X140" s="293">
        <f>'Peers '!I25</f>
        <v>67.23</v>
      </c>
      <c r="Y140" s="293">
        <f>'Peers '!J25</f>
        <v>77.62</v>
      </c>
      <c r="Z140" s="293">
        <f>'Peers '!K25</f>
        <v>105.6</v>
      </c>
      <c r="AA140" s="293">
        <f>'Peers '!L25</f>
        <v>139.58000000000001</v>
      </c>
      <c r="AB140" s="293">
        <f>'Peers '!M25</f>
        <v>132.04</v>
      </c>
      <c r="AD140" s="281" t="s">
        <v>748</v>
      </c>
      <c r="AE140" s="293">
        <f>'Peers '!I24</f>
        <v>11.7</v>
      </c>
      <c r="AF140" s="293">
        <f>'Peers '!J24</f>
        <v>8.8000000000000007</v>
      </c>
      <c r="AG140" s="293">
        <f>'Peers '!K24</f>
        <v>13.4</v>
      </c>
      <c r="AH140" s="293">
        <f>'Peers '!L24</f>
        <v>14.9</v>
      </c>
      <c r="AI140" s="293">
        <f>'Peers '!M24</f>
        <v>8.6</v>
      </c>
      <c r="AK140" s="281" t="s">
        <v>748</v>
      </c>
      <c r="AL140" s="307">
        <f>'Peers '!P25</f>
        <v>0.93</v>
      </c>
      <c r="AM140" s="307">
        <f>'Peers '!Q25</f>
        <v>0.86</v>
      </c>
      <c r="AN140" s="307">
        <f>'Peers '!R25</f>
        <v>0.98</v>
      </c>
      <c r="AO140" s="307">
        <f>'Peers '!S25</f>
        <v>0.9</v>
      </c>
      <c r="AP140" s="307">
        <f>'Peers '!T25</f>
        <v>0.78</v>
      </c>
      <c r="AX140" s="281" t="s">
        <v>748</v>
      </c>
      <c r="AY140" s="307">
        <f>'Peers '!P27</f>
        <v>1.28</v>
      </c>
      <c r="AZ140" s="307">
        <f>'Peers '!Q27</f>
        <v>1.01</v>
      </c>
      <c r="BA140" s="307">
        <f>'Peers '!R27</f>
        <v>1.76</v>
      </c>
      <c r="BB140" s="307">
        <f>'Peers '!S27</f>
        <v>2.0099999999999998</v>
      </c>
      <c r="BC140" s="307">
        <f>'Peers '!T27</f>
        <v>1.91</v>
      </c>
    </row>
    <row r="141" spans="1:55" x14ac:dyDescent="0.2">
      <c r="A141" s="281" t="s">
        <v>847</v>
      </c>
      <c r="B141" s="291">
        <v>9.7791909054155246E-2</v>
      </c>
      <c r="C141" s="163">
        <v>9.5956236518543986E-2</v>
      </c>
      <c r="D141" s="163">
        <v>0.10160452731137788</v>
      </c>
      <c r="E141" s="163">
        <v>0.10604931015439414</v>
      </c>
      <c r="F141" s="163">
        <v>0.11545546353965538</v>
      </c>
      <c r="H141" s="281" t="s">
        <v>847</v>
      </c>
      <c r="I141" s="291">
        <f>'Peers '!B29</f>
        <v>2.4664439136677291E-2</v>
      </c>
      <c r="J141" s="291">
        <f>'Peers '!C29</f>
        <v>2.0700783216985014E-2</v>
      </c>
      <c r="K141" s="291">
        <f>'Peers '!D29</f>
        <v>2.0499999999999997E-2</v>
      </c>
      <c r="L141" s="291">
        <f>'Peers '!E29</f>
        <v>3.1640407800662559E-2</v>
      </c>
      <c r="M141" s="291">
        <f>'Peers '!F29</f>
        <v>2.7356048642633427E-2</v>
      </c>
      <c r="O141" s="281" t="s">
        <v>847</v>
      </c>
      <c r="P141" s="291">
        <f>'Peers '!B30</f>
        <v>2.0499999999999997E-2</v>
      </c>
      <c r="Q141" s="291">
        <f>'Peers '!C30</f>
        <v>1.6E-2</v>
      </c>
      <c r="R141" s="291">
        <f>'Peers '!D30</f>
        <v>1.55E-2</v>
      </c>
      <c r="S141" s="291">
        <f>'Peers '!E30</f>
        <v>2.5500000000000002E-2</v>
      </c>
      <c r="T141" s="291">
        <f>'Peers '!F30</f>
        <v>2.1999999999999999E-2</v>
      </c>
      <c r="W141" s="281" t="s">
        <v>847</v>
      </c>
      <c r="X141" s="293">
        <f>'Peers '!I35</f>
        <v>154.255</v>
      </c>
      <c r="Y141" s="293">
        <f>'Peers '!J35</f>
        <v>237.98500000000001</v>
      </c>
      <c r="Z141" s="293">
        <f>'Peers '!K35</f>
        <v>318.44999999999993</v>
      </c>
      <c r="AA141" s="293">
        <f>'Peers '!L35</f>
        <v>408.90499999999997</v>
      </c>
      <c r="AB141" s="293">
        <f>'Peers '!M35</f>
        <v>109.52500000000001</v>
      </c>
      <c r="AD141" s="281" t="s">
        <v>847</v>
      </c>
      <c r="AE141" s="293">
        <f>'Peers '!I34</f>
        <v>5.6999999999999993</v>
      </c>
      <c r="AF141" s="293">
        <f>'Peers '!J34</f>
        <v>5.3000000000000007</v>
      </c>
      <c r="AG141" s="293">
        <f>'Peers '!K34</f>
        <v>7.5500000000000007</v>
      </c>
      <c r="AH141" s="293">
        <f>'Peers '!L34</f>
        <v>8.1</v>
      </c>
      <c r="AI141" s="293">
        <f>'Peers '!M34</f>
        <v>5.55</v>
      </c>
      <c r="AK141" s="281" t="s">
        <v>847</v>
      </c>
      <c r="AL141" s="307">
        <f>'Peers '!P37</f>
        <v>0.56499999999999995</v>
      </c>
      <c r="AM141" s="307">
        <f>'Peers '!Q37</f>
        <v>0.55000000000000004</v>
      </c>
      <c r="AN141" s="307">
        <f>'Peers '!R37</f>
        <v>0.86499999999999999</v>
      </c>
      <c r="AO141" s="307">
        <f>'Peers '!S37</f>
        <v>0.64500000000000002</v>
      </c>
      <c r="AP141" s="307">
        <f>'Peers '!T37</f>
        <v>0.69</v>
      </c>
      <c r="AX141" s="281" t="s">
        <v>847</v>
      </c>
      <c r="AY141" s="307">
        <f>'Peers '!P39</f>
        <v>1.1850000000000001</v>
      </c>
      <c r="AZ141" s="307">
        <f>'Peers '!Q39</f>
        <v>1.0899999999999999</v>
      </c>
      <c r="BA141" s="307">
        <f>'Peers '!R39</f>
        <v>1.42</v>
      </c>
      <c r="BB141" s="307">
        <f>'Peers '!S39</f>
        <v>1.6099999999999999</v>
      </c>
      <c r="BC141" s="307">
        <f>'Peers '!T39</f>
        <v>1.3649999999999998</v>
      </c>
    </row>
    <row r="164" spans="1:13" x14ac:dyDescent="0.2">
      <c r="A164" s="193" t="s">
        <v>764</v>
      </c>
      <c r="B164" s="193" t="s">
        <v>849</v>
      </c>
    </row>
    <row r="168" spans="1:13" x14ac:dyDescent="0.2">
      <c r="L168" s="193" t="s">
        <v>906</v>
      </c>
      <c r="M168" s="296">
        <v>0.5</v>
      </c>
    </row>
    <row r="169" spans="1:13" x14ac:dyDescent="0.2">
      <c r="L169" s="193" t="s">
        <v>907</v>
      </c>
      <c r="M169" s="296">
        <v>0.3</v>
      </c>
    </row>
    <row r="170" spans="1:13" x14ac:dyDescent="0.2">
      <c r="L170" s="193" t="s">
        <v>908</v>
      </c>
      <c r="M170" s="216">
        <v>2.5000000000000001E-2</v>
      </c>
    </row>
    <row r="171" spans="1:13" x14ac:dyDescent="0.2">
      <c r="L171" s="193" t="s">
        <v>909</v>
      </c>
      <c r="M171" s="296">
        <f>100%-(SUM(M168:M170))</f>
        <v>0.17499999999999993</v>
      </c>
    </row>
    <row r="184" spans="1:5" x14ac:dyDescent="0.2">
      <c r="A184" s="193" t="s">
        <v>764</v>
      </c>
      <c r="B184" s="193" t="s">
        <v>850</v>
      </c>
    </row>
    <row r="185" spans="1:5" x14ac:dyDescent="0.2">
      <c r="A185" s="193" t="s">
        <v>704</v>
      </c>
      <c r="B185" s="193">
        <f>2020</f>
        <v>2020</v>
      </c>
      <c r="C185" s="193">
        <f>B185+1</f>
        <v>2021</v>
      </c>
      <c r="D185" s="193">
        <f t="shared" ref="D185" si="2">C185+1</f>
        <v>2022</v>
      </c>
      <c r="E185" s="193" t="s">
        <v>579</v>
      </c>
    </row>
    <row r="186" spans="1:5" x14ac:dyDescent="0.2">
      <c r="B186" s="216">
        <v>2.9000000000000001E-2</v>
      </c>
      <c r="C186" s="216">
        <v>2.5999999999999999E-2</v>
      </c>
      <c r="D186" s="256">
        <f>8%</f>
        <v>0.08</v>
      </c>
      <c r="E186" s="256">
        <f>5.7%</f>
        <v>5.7000000000000002E-2</v>
      </c>
    </row>
    <row r="205" spans="1:9" x14ac:dyDescent="0.2">
      <c r="A205" s="193" t="s">
        <v>764</v>
      </c>
      <c r="B205" s="193" t="s">
        <v>851</v>
      </c>
    </row>
    <row r="206" spans="1:9" x14ac:dyDescent="0.2">
      <c r="B206" s="193">
        <v>2021</v>
      </c>
      <c r="C206" s="193">
        <f>B206+1</f>
        <v>2022</v>
      </c>
      <c r="D206" s="193">
        <f t="shared" ref="D206:I206" si="3">C206+1</f>
        <v>2023</v>
      </c>
      <c r="E206" s="193">
        <f t="shared" si="3"/>
        <v>2024</v>
      </c>
      <c r="F206" s="193">
        <f t="shared" si="3"/>
        <v>2025</v>
      </c>
      <c r="G206" s="193">
        <f t="shared" si="3"/>
        <v>2026</v>
      </c>
      <c r="H206" s="193">
        <f t="shared" si="3"/>
        <v>2027</v>
      </c>
      <c r="I206" s="193">
        <f t="shared" si="3"/>
        <v>2028</v>
      </c>
    </row>
    <row r="207" spans="1:9" ht="16" x14ac:dyDescent="0.2">
      <c r="A207" s="281" t="s">
        <v>852</v>
      </c>
      <c r="B207" s="295">
        <v>4.99</v>
      </c>
      <c r="C207" s="295">
        <v>-3.56</v>
      </c>
      <c r="D207" s="295">
        <v>1.89</v>
      </c>
      <c r="E207" s="295">
        <v>0.5</v>
      </c>
      <c r="F207" s="295">
        <v>4.16</v>
      </c>
      <c r="G207" s="295">
        <v>3.99</v>
      </c>
      <c r="H207" s="295">
        <v>3.83</v>
      </c>
      <c r="I207" s="295">
        <v>3.87</v>
      </c>
    </row>
    <row r="208" spans="1:9" ht="16" x14ac:dyDescent="0.2">
      <c r="A208" s="281" t="s">
        <v>853</v>
      </c>
      <c r="B208" s="295">
        <v>11.14</v>
      </c>
      <c r="C208" s="295">
        <v>-6.62</v>
      </c>
      <c r="D208" s="295">
        <v>3.1</v>
      </c>
      <c r="E208" s="295">
        <v>-1.76</v>
      </c>
      <c r="F208" s="295">
        <v>1.35</v>
      </c>
      <c r="G208" s="295">
        <v>1.33</v>
      </c>
      <c r="H208" s="295">
        <v>1.3</v>
      </c>
      <c r="I208" s="295">
        <v>1.35</v>
      </c>
    </row>
    <row r="229" spans="1:9" x14ac:dyDescent="0.2">
      <c r="A229" s="193" t="s">
        <v>764</v>
      </c>
      <c r="B229" s="193" t="s">
        <v>854</v>
      </c>
    </row>
    <row r="230" spans="1:9" x14ac:dyDescent="0.2">
      <c r="A230" s="193" t="s">
        <v>855</v>
      </c>
      <c r="B230" s="193">
        <v>-2.13</v>
      </c>
      <c r="C230" s="193">
        <v>9.1999999999999993</v>
      </c>
      <c r="D230" s="193">
        <v>7.57</v>
      </c>
      <c r="E230" s="193">
        <v>7.71</v>
      </c>
      <c r="F230" s="193">
        <v>7.38</v>
      </c>
      <c r="G230" s="193">
        <v>7.34</v>
      </c>
      <c r="H230" s="193">
        <v>7.13</v>
      </c>
      <c r="I230" s="193">
        <v>6.65</v>
      </c>
    </row>
    <row r="250" spans="1:2" x14ac:dyDescent="0.2">
      <c r="A250" s="193" t="s">
        <v>764</v>
      </c>
      <c r="B250" s="193" t="s">
        <v>856</v>
      </c>
    </row>
    <row r="253" spans="1:2" x14ac:dyDescent="0.2">
      <c r="A253" s="193" t="s">
        <v>704</v>
      </c>
      <c r="B253" s="296">
        <v>0.9</v>
      </c>
    </row>
    <row r="254" spans="1:2" x14ac:dyDescent="0.2">
      <c r="A254" s="193" t="s">
        <v>857</v>
      </c>
      <c r="B254" s="296">
        <v>0.84</v>
      </c>
    </row>
    <row r="255" spans="1:2" x14ac:dyDescent="0.2">
      <c r="A255" s="193" t="s">
        <v>858</v>
      </c>
      <c r="B255" s="296">
        <v>0.77</v>
      </c>
    </row>
    <row r="256" spans="1:2" x14ac:dyDescent="0.2">
      <c r="A256" s="193" t="s">
        <v>859</v>
      </c>
      <c r="B256" s="296">
        <v>0.74</v>
      </c>
    </row>
    <row r="257" spans="1:2" x14ac:dyDescent="0.2">
      <c r="A257" s="193" t="s">
        <v>860</v>
      </c>
      <c r="B257" s="296">
        <v>0.56000000000000005</v>
      </c>
    </row>
    <row r="258" spans="1:2" x14ac:dyDescent="0.2">
      <c r="A258" s="193" t="s">
        <v>861</v>
      </c>
      <c r="B258" s="296">
        <v>0.55000000000000004</v>
      </c>
    </row>
    <row r="259" spans="1:2" x14ac:dyDescent="0.2">
      <c r="A259" s="193" t="s">
        <v>862</v>
      </c>
      <c r="B259" s="296">
        <v>0.27</v>
      </c>
    </row>
    <row r="279" spans="1:14" x14ac:dyDescent="0.2">
      <c r="A279" s="193" t="s">
        <v>826</v>
      </c>
      <c r="B279" s="193" t="s">
        <v>863</v>
      </c>
    </row>
    <row r="280" spans="1:14" x14ac:dyDescent="0.2">
      <c r="D280" s="298"/>
      <c r="E280" s="298" t="s">
        <v>865</v>
      </c>
      <c r="F280" s="303" t="s">
        <v>866</v>
      </c>
      <c r="G280" s="303" t="s">
        <v>864</v>
      </c>
    </row>
    <row r="281" spans="1:14" ht="32" x14ac:dyDescent="0.2">
      <c r="D281" s="299" t="s">
        <v>867</v>
      </c>
      <c r="E281" s="302">
        <v>19100</v>
      </c>
      <c r="F281" s="302">
        <v>163</v>
      </c>
      <c r="G281" s="302">
        <v>1400</v>
      </c>
      <c r="H281" s="297"/>
    </row>
    <row r="282" spans="1:14" ht="32" x14ac:dyDescent="0.2">
      <c r="D282" s="300" t="s">
        <v>868</v>
      </c>
      <c r="E282" s="302">
        <f>9.7*1000000</f>
        <v>9700000</v>
      </c>
      <c r="F282" s="302">
        <f>4.7*1000000</f>
        <v>4700000</v>
      </c>
      <c r="G282" s="302">
        <f>2.1*1000000</f>
        <v>2100000</v>
      </c>
    </row>
    <row r="285" spans="1:14" x14ac:dyDescent="0.2">
      <c r="A285" s="193" t="s">
        <v>764</v>
      </c>
      <c r="B285" s="193" t="s">
        <v>885</v>
      </c>
      <c r="N285" s="193" t="s">
        <v>914</v>
      </c>
    </row>
    <row r="287" spans="1:14" x14ac:dyDescent="0.2">
      <c r="A287" s="193" t="s">
        <v>633</v>
      </c>
      <c r="B287" s="255">
        <v>1016</v>
      </c>
      <c r="C287" s="256">
        <f>B287/$B$295</f>
        <v>0.37657524091919942</v>
      </c>
    </row>
    <row r="288" spans="1:14" x14ac:dyDescent="0.2">
      <c r="A288" s="193" t="s">
        <v>869</v>
      </c>
      <c r="B288" s="193">
        <v>937</v>
      </c>
      <c r="C288" s="256">
        <f t="shared" ref="C288:C294" si="4">B288/$B$295</f>
        <v>0.34729429206819867</v>
      </c>
    </row>
    <row r="289" spans="1:3" x14ac:dyDescent="0.2">
      <c r="A289" s="193" t="s">
        <v>870</v>
      </c>
      <c r="B289" s="193">
        <v>524</v>
      </c>
      <c r="C289" s="256">
        <f t="shared" si="4"/>
        <v>0.19421793921423278</v>
      </c>
    </row>
    <row r="290" spans="1:3" x14ac:dyDescent="0.2">
      <c r="A290" s="193" t="s">
        <v>871</v>
      </c>
      <c r="B290" s="193">
        <v>109</v>
      </c>
      <c r="C290" s="256">
        <f t="shared" si="4"/>
        <v>4.0400296515937732E-2</v>
      </c>
    </row>
    <row r="291" spans="1:3" x14ac:dyDescent="0.2">
      <c r="A291" s="193" t="s">
        <v>872</v>
      </c>
      <c r="B291" s="193">
        <v>85</v>
      </c>
      <c r="C291" s="256">
        <f t="shared" si="4"/>
        <v>3.1504818383988137E-2</v>
      </c>
    </row>
    <row r="292" spans="1:3" x14ac:dyDescent="0.2">
      <c r="A292" s="193" t="s">
        <v>873</v>
      </c>
      <c r="B292" s="193">
        <v>12</v>
      </c>
      <c r="C292" s="256">
        <f t="shared" si="4"/>
        <v>4.447739065974796E-3</v>
      </c>
    </row>
    <row r="293" spans="1:3" x14ac:dyDescent="0.2">
      <c r="A293" s="193" t="s">
        <v>874</v>
      </c>
      <c r="B293" s="193">
        <v>10</v>
      </c>
      <c r="C293" s="256">
        <f t="shared" si="4"/>
        <v>3.7064492216456633E-3</v>
      </c>
    </row>
    <row r="294" spans="1:3" x14ac:dyDescent="0.2">
      <c r="A294" s="193" t="s">
        <v>875</v>
      </c>
      <c r="B294" s="193">
        <v>5</v>
      </c>
      <c r="C294" s="256">
        <f t="shared" si="4"/>
        <v>1.8532246108228317E-3</v>
      </c>
    </row>
    <row r="295" spans="1:3" x14ac:dyDescent="0.2">
      <c r="A295" s="193" t="s">
        <v>811</v>
      </c>
      <c r="B295" s="255">
        <v>2698</v>
      </c>
    </row>
    <row r="314" spans="1:4" ht="21" customHeight="1" x14ac:dyDescent="0.2">
      <c r="A314" s="193" t="s">
        <v>764</v>
      </c>
      <c r="B314" s="193" t="s">
        <v>863</v>
      </c>
    </row>
    <row r="316" spans="1:4" x14ac:dyDescent="0.2">
      <c r="B316" s="303" t="s">
        <v>632</v>
      </c>
      <c r="C316" s="303" t="s">
        <v>876</v>
      </c>
      <c r="D316" s="303" t="s">
        <v>724</v>
      </c>
    </row>
    <row r="317" spans="1:4" ht="16" customHeight="1" x14ac:dyDescent="0.2">
      <c r="B317" s="432" t="s">
        <v>877</v>
      </c>
      <c r="C317" s="433"/>
      <c r="D317" s="434"/>
    </row>
    <row r="318" spans="1:4" ht="80" x14ac:dyDescent="0.2">
      <c r="B318" s="304" t="s">
        <v>878</v>
      </c>
      <c r="C318" s="304" t="s">
        <v>879</v>
      </c>
      <c r="D318" s="304" t="s">
        <v>880</v>
      </c>
    </row>
    <row r="319" spans="1:4" x14ac:dyDescent="0.2">
      <c r="B319" s="432" t="s">
        <v>881</v>
      </c>
      <c r="C319" s="433"/>
      <c r="D319" s="434"/>
    </row>
    <row r="320" spans="1:4" ht="43" customHeight="1" x14ac:dyDescent="0.2">
      <c r="B320" s="304" t="s">
        <v>882</v>
      </c>
      <c r="C320" s="304" t="s">
        <v>883</v>
      </c>
      <c r="D320" s="304" t="s">
        <v>884</v>
      </c>
    </row>
    <row r="322" spans="1:2" x14ac:dyDescent="0.2">
      <c r="A322" s="193" t="s">
        <v>764</v>
      </c>
      <c r="B322" s="193" t="s">
        <v>886</v>
      </c>
    </row>
    <row r="339" spans="1:8" x14ac:dyDescent="0.2">
      <c r="A339" s="193" t="s">
        <v>826</v>
      </c>
      <c r="B339" s="193" t="s">
        <v>887</v>
      </c>
    </row>
    <row r="341" spans="1:8" x14ac:dyDescent="0.2">
      <c r="D341" s="298"/>
      <c r="E341" s="303">
        <v>2019</v>
      </c>
      <c r="F341" s="303">
        <v>2020</v>
      </c>
      <c r="G341" s="303">
        <v>2021</v>
      </c>
      <c r="H341" s="303">
        <v>2022</v>
      </c>
    </row>
    <row r="342" spans="1:8" ht="16" x14ac:dyDescent="0.2">
      <c r="D342" s="288" t="s">
        <v>888</v>
      </c>
      <c r="E342" s="287">
        <f>'Key financial ratios'!F27</f>
        <v>4.7E-2</v>
      </c>
      <c r="F342" s="287">
        <f>'Key financial ratios'!G27</f>
        <v>5.0000000000000001E-3</v>
      </c>
      <c r="G342" s="287">
        <f>'Key financial ratios'!H27</f>
        <v>6.9000000000000006E-2</v>
      </c>
      <c r="H342" s="287">
        <f>'Key financial ratios'!I27</f>
        <v>4.5999999999999999E-2</v>
      </c>
    </row>
    <row r="343" spans="1:8" ht="16" x14ac:dyDescent="0.2">
      <c r="D343" s="301" t="s">
        <v>889</v>
      </c>
      <c r="E343" s="305">
        <f>'Key financial ratios'!F48</f>
        <v>4.9000000000000004</v>
      </c>
      <c r="F343" s="305">
        <f>'Key financial ratios'!G48</f>
        <v>4.8</v>
      </c>
      <c r="G343" s="305">
        <f>'Key financial ratios'!H48</f>
        <v>5.7</v>
      </c>
      <c r="H343" s="305">
        <f>'Key financial ratios'!I48</f>
        <v>4.5</v>
      </c>
    </row>
    <row r="344" spans="1:8" ht="16" x14ac:dyDescent="0.2">
      <c r="D344" s="301" t="s">
        <v>890</v>
      </c>
      <c r="E344" s="305">
        <f>'Key financial ratios'!F49</f>
        <v>74.2</v>
      </c>
      <c r="F344" s="305">
        <f>'Key financial ratios'!G49</f>
        <v>75.599999999999994</v>
      </c>
      <c r="G344" s="305">
        <f>'Key financial ratios'!H49</f>
        <v>63.9</v>
      </c>
      <c r="H344" s="305">
        <f>'Key financial ratios'!I49</f>
        <v>82</v>
      </c>
    </row>
    <row r="346" spans="1:8" x14ac:dyDescent="0.2">
      <c r="A346" s="193" t="s">
        <v>826</v>
      </c>
      <c r="B346" s="193" t="s">
        <v>891</v>
      </c>
    </row>
    <row r="365" spans="1:5" ht="16" thickBot="1" x14ac:dyDescent="0.25">
      <c r="A365" s="193" t="s">
        <v>826</v>
      </c>
      <c r="B365" s="193" t="s">
        <v>892</v>
      </c>
    </row>
    <row r="366" spans="1:5" x14ac:dyDescent="0.2">
      <c r="A366" s="306">
        <v>74</v>
      </c>
      <c r="B366" s="306">
        <v>3816</v>
      </c>
      <c r="C366" s="306">
        <v>3429</v>
      </c>
      <c r="D366" s="306">
        <v>2088</v>
      </c>
      <c r="E366" s="306">
        <v>518167</v>
      </c>
    </row>
    <row r="367" spans="1:5" x14ac:dyDescent="0.2">
      <c r="B367" s="256"/>
    </row>
    <row r="385" spans="1:8" x14ac:dyDescent="0.2">
      <c r="A385" s="193" t="s">
        <v>764</v>
      </c>
      <c r="B385" s="193" t="s">
        <v>533</v>
      </c>
    </row>
    <row r="387" spans="1:8" ht="32" x14ac:dyDescent="0.2">
      <c r="B387" s="298"/>
      <c r="C387" s="309" t="s">
        <v>894</v>
      </c>
      <c r="D387" s="310">
        <v>2018</v>
      </c>
      <c r="E387" s="310">
        <v>2019</v>
      </c>
      <c r="F387" s="310">
        <v>2020</v>
      </c>
      <c r="G387" s="310">
        <v>2021</v>
      </c>
      <c r="H387" s="310">
        <v>2022</v>
      </c>
    </row>
    <row r="388" spans="1:8" x14ac:dyDescent="0.2">
      <c r="B388" s="271" t="s">
        <v>519</v>
      </c>
      <c r="C388" s="280">
        <v>7.0000000000000007E-2</v>
      </c>
      <c r="D388" s="280">
        <v>2.2700000000000001E-2</v>
      </c>
      <c r="E388" s="280">
        <v>1.2800000000000001E-2</v>
      </c>
      <c r="F388" s="280">
        <v>1.6999999999999999E-3</v>
      </c>
      <c r="G388" s="280">
        <v>1.9699999999999999E-2</v>
      </c>
      <c r="H388" s="280">
        <v>1.29E-2</v>
      </c>
    </row>
    <row r="389" spans="1:8" x14ac:dyDescent="0.2">
      <c r="B389" s="271" t="s">
        <v>522</v>
      </c>
      <c r="C389" s="281">
        <v>1.44</v>
      </c>
      <c r="D389" s="281">
        <v>3.39</v>
      </c>
      <c r="E389" s="281">
        <v>2.83</v>
      </c>
      <c r="F389" s="281">
        <v>2.4500000000000002</v>
      </c>
      <c r="G389" s="281">
        <v>2.78</v>
      </c>
      <c r="H389" s="281">
        <v>2.83</v>
      </c>
    </row>
    <row r="390" spans="1:8" x14ac:dyDescent="0.2">
      <c r="B390" s="271" t="s">
        <v>547</v>
      </c>
      <c r="C390" s="281">
        <v>2.2999999999999998</v>
      </c>
      <c r="D390" s="281">
        <v>4.5599999999999996</v>
      </c>
      <c r="E390" s="281">
        <v>5.18</v>
      </c>
      <c r="F390" s="281">
        <v>4.4400000000000004</v>
      </c>
      <c r="G390" s="281">
        <v>6.49</v>
      </c>
      <c r="H390" s="281">
        <v>5.24</v>
      </c>
    </row>
    <row r="391" spans="1:8" x14ac:dyDescent="0.2">
      <c r="B391" s="271" t="s">
        <v>533</v>
      </c>
      <c r="C391" s="280">
        <v>0.13700000000000001</v>
      </c>
      <c r="D391" s="280">
        <v>0.35120000000000001</v>
      </c>
      <c r="E391" s="280">
        <v>0.18759999999999999</v>
      </c>
      <c r="F391" s="280">
        <v>1.83E-2</v>
      </c>
      <c r="G391" s="280">
        <v>0.35580000000000001</v>
      </c>
      <c r="H391" s="280">
        <v>0.19189999999999999</v>
      </c>
    </row>
    <row r="396" spans="1:8" ht="15" customHeight="1" x14ac:dyDescent="0.2">
      <c r="A396" s="193" t="s">
        <v>764</v>
      </c>
      <c r="B396" s="193" t="s">
        <v>895</v>
      </c>
    </row>
    <row r="397" spans="1:8" x14ac:dyDescent="0.2">
      <c r="A397" s="193" t="s">
        <v>896</v>
      </c>
    </row>
    <row r="429" spans="1:5" x14ac:dyDescent="0.2">
      <c r="A429" s="193" t="s">
        <v>764</v>
      </c>
      <c r="B429" s="193" t="s">
        <v>743</v>
      </c>
    </row>
    <row r="430" spans="1:5" x14ac:dyDescent="0.2">
      <c r="E430" s="193" t="s">
        <v>897</v>
      </c>
    </row>
    <row r="448" spans="1:2" x14ac:dyDescent="0.2">
      <c r="A448" s="193" t="s">
        <v>764</v>
      </c>
      <c r="B448" s="193" t="s">
        <v>898</v>
      </c>
    </row>
    <row r="450" spans="1:12" x14ac:dyDescent="0.2">
      <c r="A450" s="193">
        <v>-74</v>
      </c>
      <c r="B450" s="193">
        <v>-3816</v>
      </c>
      <c r="C450" s="193">
        <v>-3816</v>
      </c>
      <c r="D450" s="193">
        <v>-3429</v>
      </c>
      <c r="E450" s="193">
        <v>-2088</v>
      </c>
      <c r="F450" s="193">
        <v>-518167</v>
      </c>
      <c r="G450" s="193">
        <v>-359049.10207620118</v>
      </c>
      <c r="H450" s="193">
        <v>-50511.967790634051</v>
      </c>
      <c r="I450" s="193">
        <v>-58165.236570548746</v>
      </c>
      <c r="J450" s="193">
        <v>-77160.29286590188</v>
      </c>
      <c r="K450" s="193">
        <v>-68362.674619058584</v>
      </c>
      <c r="L450" s="193">
        <v>-115444.171077187</v>
      </c>
    </row>
    <row r="451" spans="1:12" x14ac:dyDescent="0.2">
      <c r="A451" s="193">
        <f>A450*-1</f>
        <v>74</v>
      </c>
      <c r="B451" s="193">
        <f t="shared" ref="B451" si="5">B450*-1</f>
        <v>3816</v>
      </c>
      <c r="C451" s="193">
        <f t="shared" ref="C451:K451" si="6">D450*-1</f>
        <v>3429</v>
      </c>
      <c r="D451" s="193">
        <f t="shared" si="6"/>
        <v>2088</v>
      </c>
      <c r="E451" s="193">
        <f t="shared" si="6"/>
        <v>518167</v>
      </c>
      <c r="F451" s="193">
        <f t="shared" si="6"/>
        <v>359049.10207620118</v>
      </c>
      <c r="G451" s="193">
        <f t="shared" si="6"/>
        <v>50511.967790634051</v>
      </c>
      <c r="H451" s="193">
        <f t="shared" si="6"/>
        <v>58165.236570548746</v>
      </c>
      <c r="I451" s="193">
        <f t="shared" si="6"/>
        <v>77160.29286590188</v>
      </c>
      <c r="J451" s="193">
        <f t="shared" si="6"/>
        <v>68362.674619058584</v>
      </c>
      <c r="K451" s="193">
        <f t="shared" si="6"/>
        <v>115444.171077187</v>
      </c>
    </row>
  </sheetData>
  <mergeCells count="5">
    <mergeCell ref="B317:D317"/>
    <mergeCell ref="B319:D319"/>
    <mergeCell ref="B2:J2"/>
    <mergeCell ref="B12:C12"/>
    <mergeCell ref="B42:C4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676E-7171-2C44-AE22-F6EDEB0CB222}">
  <sheetPr codeName="Sheet4"/>
  <dimension ref="A1:N34"/>
  <sheetViews>
    <sheetView tabSelected="1" zoomScaleNormal="100" workbookViewId="0">
      <selection activeCell="G3" sqref="G3"/>
    </sheetView>
  </sheetViews>
  <sheetFormatPr baseColWidth="10" defaultRowHeight="15" x14ac:dyDescent="0.2"/>
  <cols>
    <col min="1" max="1" width="29" style="315" customWidth="1"/>
    <col min="2" max="2" width="12.6640625" style="315" bestFit="1" customWidth="1"/>
    <col min="3" max="3" width="12.5" style="315" bestFit="1" customWidth="1"/>
    <col min="4" max="6" width="10.83203125" style="315"/>
    <col min="7" max="7" width="16.83203125" style="315" bestFit="1" customWidth="1"/>
    <col min="8" max="16384" width="10.83203125" style="315"/>
  </cols>
  <sheetData>
    <row r="1" spans="1:12" x14ac:dyDescent="0.2">
      <c r="A1" s="314"/>
      <c r="B1" s="436" t="s">
        <v>596</v>
      </c>
      <c r="C1" s="437"/>
      <c r="D1" s="437"/>
      <c r="E1" s="437"/>
      <c r="F1" s="438"/>
      <c r="G1" s="439" t="s">
        <v>597</v>
      </c>
      <c r="H1" s="440"/>
      <c r="I1" s="440"/>
      <c r="J1" s="440"/>
      <c r="K1" s="441"/>
      <c r="L1" s="311"/>
    </row>
    <row r="2" spans="1:12" x14ac:dyDescent="0.2">
      <c r="A2" s="343" t="s">
        <v>601</v>
      </c>
      <c r="B2" s="312">
        <v>2018</v>
      </c>
      <c r="C2" s="312">
        <v>2019</v>
      </c>
      <c r="D2" s="312">
        <v>2020</v>
      </c>
      <c r="E2" s="312">
        <v>2021</v>
      </c>
      <c r="F2" s="312">
        <v>2022</v>
      </c>
      <c r="G2" s="311" t="s">
        <v>579</v>
      </c>
      <c r="H2" s="311" t="s">
        <v>580</v>
      </c>
      <c r="I2" s="311" t="s">
        <v>581</v>
      </c>
      <c r="J2" s="311" t="s">
        <v>582</v>
      </c>
      <c r="K2" s="311" t="s">
        <v>583</v>
      </c>
      <c r="L2" s="311" t="s">
        <v>584</v>
      </c>
    </row>
    <row r="3" spans="1:12" x14ac:dyDescent="0.2">
      <c r="A3" s="279" t="s">
        <v>595</v>
      </c>
      <c r="B3" s="279">
        <f>'FPT Digital Retail JSC | Income'!E23</f>
        <v>15298335</v>
      </c>
      <c r="C3" s="279">
        <f>'FPT Digital Retail JSC | Income'!F23</f>
        <v>16633960</v>
      </c>
      <c r="D3" s="279">
        <f>'FPT Digital Retail JSC | Income'!G23</f>
        <v>14661417</v>
      </c>
      <c r="E3" s="279">
        <f>'FPT Digital Retail JSC | Income'!H23</f>
        <v>22494961</v>
      </c>
      <c r="F3" s="279">
        <f>'FPT Digital Retail JSC | Income'!I23</f>
        <v>30165801</v>
      </c>
      <c r="G3" s="316">
        <f t="shared" ref="G3:L3" si="0">G6+G12</f>
        <v>38384189.300646394</v>
      </c>
      <c r="H3" s="316">
        <f t="shared" si="0"/>
        <v>41212985.466320142</v>
      </c>
      <c r="I3" s="316">
        <f t="shared" si="0"/>
        <v>44442665.924639285</v>
      </c>
      <c r="J3" s="316">
        <f t="shared" si="0"/>
        <v>48159574.816463418</v>
      </c>
      <c r="K3" s="316">
        <f t="shared" si="0"/>
        <v>51416923.319323778</v>
      </c>
      <c r="L3" s="316">
        <f t="shared" si="0"/>
        <v>55845116.590505674</v>
      </c>
    </row>
    <row r="4" spans="1:12" x14ac:dyDescent="0.2">
      <c r="A4" s="317" t="s">
        <v>598</v>
      </c>
      <c r="B4" s="318">
        <f>('FPT Digital Retail JSC | Income'!E23-'FPT Digital Retail JSC | Income'!D23)/'FPT Digital Retail JSC | Income'!D23</f>
        <v>0.16367988018117349</v>
      </c>
      <c r="C4" s="318">
        <f>(C3-B3)/B3</f>
        <v>8.7305252499700128E-2</v>
      </c>
      <c r="D4" s="319">
        <f>(D3-C3)/C3</f>
        <v>-0.11858529177658236</v>
      </c>
      <c r="E4" s="318">
        <f>(E3-D3)/D3</f>
        <v>0.53429651445013804</v>
      </c>
      <c r="F4" s="318">
        <f>(F3-E3)/E3</f>
        <v>0.34100259164708041</v>
      </c>
      <c r="G4" s="320">
        <f t="shared" ref="G4:L4" si="1">(G3-F3)/F3</f>
        <v>0.27244057933838373</v>
      </c>
      <c r="H4" s="320">
        <f t="shared" si="1"/>
        <v>7.3696910556506415E-2</v>
      </c>
      <c r="I4" s="320">
        <f t="shared" si="1"/>
        <v>7.8365603019914312E-2</v>
      </c>
      <c r="J4" s="320">
        <f t="shared" si="1"/>
        <v>8.3633796814233344E-2</v>
      </c>
      <c r="K4" s="320">
        <f t="shared" si="1"/>
        <v>6.7636571030249851E-2</v>
      </c>
      <c r="L4" s="320">
        <f t="shared" si="1"/>
        <v>8.6123264196122554E-2</v>
      </c>
    </row>
    <row r="5" spans="1:12" x14ac:dyDescent="0.2">
      <c r="A5" s="279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</row>
    <row r="6" spans="1:12" x14ac:dyDescent="0.2">
      <c r="A6" s="321" t="s">
        <v>599</v>
      </c>
      <c r="B6" s="279">
        <v>15298357</v>
      </c>
      <c r="C6" s="279">
        <v>16123176</v>
      </c>
      <c r="D6" s="279">
        <v>13475727</v>
      </c>
      <c r="E6" s="279">
        <v>18558083</v>
      </c>
      <c r="F6" s="279">
        <v>20688829</v>
      </c>
      <c r="G6" s="316">
        <f>G11*G9</f>
        <v>23092194.54936434</v>
      </c>
      <c r="H6" s="316">
        <f t="shared" ref="H6:K6" si="2">H11*H9</f>
        <v>24063013.352757327</v>
      </c>
      <c r="I6" s="316">
        <f t="shared" si="2"/>
        <v>25208972.199278582</v>
      </c>
      <c r="J6" s="316">
        <f t="shared" si="2"/>
        <v>26588987.303471394</v>
      </c>
      <c r="K6" s="316">
        <f t="shared" si="2"/>
        <v>27225509.423503224</v>
      </c>
      <c r="L6" s="316">
        <f>L11*L9</f>
        <v>28714445.906342927</v>
      </c>
    </row>
    <row r="7" spans="1:12" x14ac:dyDescent="0.2">
      <c r="A7" s="317" t="s">
        <v>598</v>
      </c>
      <c r="B7" s="279"/>
      <c r="C7" s="318">
        <f>(C6-B6)/B6</f>
        <v>5.3915528314576529E-2</v>
      </c>
      <c r="D7" s="319">
        <f t="shared" ref="D7:F7" si="3">(D6-C6)/C6</f>
        <v>-0.16420145757882937</v>
      </c>
      <c r="E7" s="318">
        <f t="shared" si="3"/>
        <v>0.37714892858841681</v>
      </c>
      <c r="F7" s="318">
        <f t="shared" si="3"/>
        <v>0.11481498385366636</v>
      </c>
      <c r="G7" s="320">
        <f>(G6-F6)/F6</f>
        <v>0.11616730697345604</v>
      </c>
      <c r="H7" s="320">
        <f t="shared" ref="H7" si="4">(H6-G6)/G6</f>
        <v>4.2040993605768469E-2</v>
      </c>
      <c r="I7" s="320">
        <f t="shared" ref="I7" si="5">(I6-H6)/H6</f>
        <v>4.7623247750471026E-2</v>
      </c>
      <c r="J7" s="320">
        <f t="shared" ref="J7" si="6">(J6-I6)/I6</f>
        <v>5.474301345107218E-2</v>
      </c>
      <c r="K7" s="320">
        <f t="shared" ref="K7:L7" si="7">(K6-J6)/J6</f>
        <v>2.3939314151642289E-2</v>
      </c>
      <c r="L7" s="320">
        <f t="shared" si="7"/>
        <v>5.4689021963876837E-2</v>
      </c>
    </row>
    <row r="8" spans="1:12" x14ac:dyDescent="0.2">
      <c r="A8" s="317" t="s">
        <v>602</v>
      </c>
      <c r="B8" s="318">
        <f>100%-B15</f>
        <v>0.97744852626119116</v>
      </c>
      <c r="C8" s="323">
        <f t="shared" ref="C8:L8" si="8">C6/C3</f>
        <v>0.9692926999944691</v>
      </c>
      <c r="D8" s="323">
        <f t="shared" si="8"/>
        <v>0.91912855353612821</v>
      </c>
      <c r="E8" s="323">
        <f t="shared" si="8"/>
        <v>0.82498844963545392</v>
      </c>
      <c r="F8" s="323">
        <f t="shared" si="8"/>
        <v>0.68583721678731491</v>
      </c>
      <c r="G8" s="324">
        <f t="shared" si="8"/>
        <v>0.60160693686906819</v>
      </c>
      <c r="H8" s="324">
        <f t="shared" si="8"/>
        <v>0.58386969738996408</v>
      </c>
      <c r="I8" s="324">
        <f t="shared" si="8"/>
        <v>0.56722457293684925</v>
      </c>
      <c r="J8" s="324">
        <f t="shared" si="8"/>
        <v>0.55210178671224297</v>
      </c>
      <c r="K8" s="324">
        <f t="shared" si="8"/>
        <v>0.52950483354322353</v>
      </c>
      <c r="L8" s="324">
        <f t="shared" si="8"/>
        <v>0.514180069081004</v>
      </c>
    </row>
    <row r="9" spans="1:12" x14ac:dyDescent="0.2">
      <c r="A9" s="279" t="s">
        <v>610</v>
      </c>
      <c r="B9" s="325">
        <v>533</v>
      </c>
      <c r="C9" s="279">
        <v>593</v>
      </c>
      <c r="D9" s="279">
        <v>595</v>
      </c>
      <c r="E9" s="279">
        <v>647</v>
      </c>
      <c r="F9" s="279">
        <v>786</v>
      </c>
      <c r="G9" s="316">
        <f>F9*(1+G10)</f>
        <v>864.58636858120371</v>
      </c>
      <c r="H9" s="316">
        <f>G9+50</f>
        <v>914.58636858120371</v>
      </c>
      <c r="I9" s="316">
        <f>H9+50</f>
        <v>964.58636858120371</v>
      </c>
      <c r="J9" s="316">
        <f t="shared" ref="J9" si="9">I9*(1+J10)</f>
        <v>990.95310664219073</v>
      </c>
      <c r="K9" s="316">
        <f>J9*(1+K10)</f>
        <v>1028.8755598122298</v>
      </c>
      <c r="L9" s="316">
        <f>K9*(1+L10)</f>
        <v>1083.9987326067333</v>
      </c>
    </row>
    <row r="10" spans="1:12" x14ac:dyDescent="0.2">
      <c r="A10" s="279" t="s">
        <v>606</v>
      </c>
      <c r="B10" s="323"/>
      <c r="C10" s="326">
        <f t="shared" ref="C10" si="10">(C9-B9)/B9</f>
        <v>0.11257035647279549</v>
      </c>
      <c r="D10" s="323">
        <f t="shared" ref="D10" si="11">(D9-C9)/C9</f>
        <v>3.3726812816188868E-3</v>
      </c>
      <c r="E10" s="326">
        <f t="shared" ref="E10:F10" si="12">(E9-D9)/D9</f>
        <v>8.7394957983193272E-2</v>
      </c>
      <c r="F10" s="326">
        <f t="shared" si="12"/>
        <v>0.21483771251931993</v>
      </c>
      <c r="G10" s="327">
        <f>MEDIAN(C10:F10)</f>
        <v>9.9982657227994376E-2</v>
      </c>
      <c r="H10" s="327">
        <f>H9/G9-1</f>
        <v>5.7831122276482905E-2</v>
      </c>
      <c r="I10" s="327">
        <f>I9/H9-1</f>
        <v>5.4669522439487972E-2</v>
      </c>
      <c r="J10" s="327">
        <f>I10*50%</f>
        <v>2.7334761219743986E-2</v>
      </c>
      <c r="K10" s="327">
        <f>J10*140%</f>
        <v>3.8268665707641578E-2</v>
      </c>
      <c r="L10" s="327">
        <f>K10*140%</f>
        <v>5.3576131990698203E-2</v>
      </c>
    </row>
    <row r="11" spans="1:12" x14ac:dyDescent="0.2">
      <c r="A11" s="279" t="s">
        <v>608</v>
      </c>
      <c r="B11" s="328">
        <f>B6/B9</f>
        <v>28702.358348968104</v>
      </c>
      <c r="C11" s="328">
        <f t="shared" ref="C11:F11" si="13">C6/C9</f>
        <v>27189.166947723439</v>
      </c>
      <c r="D11" s="328">
        <f t="shared" si="13"/>
        <v>22648.280672268909</v>
      </c>
      <c r="E11" s="328">
        <f t="shared" si="13"/>
        <v>28683.281298299844</v>
      </c>
      <c r="F11" s="328">
        <f t="shared" si="13"/>
        <v>26321.665394402036</v>
      </c>
      <c r="G11" s="316">
        <f>AVERAGE(B11:F11)</f>
        <v>26708.95053233247</v>
      </c>
      <c r="H11" s="316">
        <f t="shared" ref="H11:L11" si="14">AVERAGE(C11:G11)</f>
        <v>26310.268969005341</v>
      </c>
      <c r="I11" s="316">
        <f>AVERAGE(D11:H11)</f>
        <v>26134.48937326172</v>
      </c>
      <c r="J11" s="316">
        <f t="shared" si="14"/>
        <v>26831.731113460282</v>
      </c>
      <c r="K11" s="316">
        <f t="shared" si="14"/>
        <v>26461.42107649237</v>
      </c>
      <c r="L11" s="316">
        <f t="shared" si="14"/>
        <v>26489.372212910435</v>
      </c>
    </row>
    <row r="12" spans="1:12" x14ac:dyDescent="0.2">
      <c r="A12" s="321" t="s">
        <v>600</v>
      </c>
      <c r="B12" s="279">
        <v>345000</v>
      </c>
      <c r="C12" s="279">
        <v>510783</v>
      </c>
      <c r="D12" s="279">
        <v>1190840</v>
      </c>
      <c r="E12" s="279">
        <v>3977188</v>
      </c>
      <c r="F12" s="279">
        <v>9595942</v>
      </c>
      <c r="G12" s="316">
        <f t="shared" ref="G12:L12" si="15">G16*G18</f>
        <v>15291994.751282051</v>
      </c>
      <c r="H12" s="316">
        <f t="shared" si="15"/>
        <v>17149972.113562819</v>
      </c>
      <c r="I12" s="316">
        <f t="shared" si="15"/>
        <v>19233693.725360699</v>
      </c>
      <c r="J12" s="316">
        <f t="shared" si="15"/>
        <v>21570587.512992024</v>
      </c>
      <c r="K12" s="316">
        <f t="shared" si="15"/>
        <v>24191413.895820554</v>
      </c>
      <c r="L12" s="316">
        <f t="shared" si="15"/>
        <v>27130670.684162751</v>
      </c>
    </row>
    <row r="13" spans="1:12" ht="15" hidden="1" customHeight="1" x14ac:dyDescent="0.2">
      <c r="A13" s="321"/>
      <c r="B13" s="279"/>
      <c r="C13" s="279"/>
      <c r="D13" s="279"/>
      <c r="E13" s="279"/>
      <c r="F13" s="279"/>
      <c r="G13" s="316"/>
      <c r="H13" s="316">
        <f>G12*(1+12.15%)</f>
        <v>17149972.113562819</v>
      </c>
      <c r="I13" s="316">
        <f t="shared" ref="I13:L13" si="16">H12*(1+12.15%)</f>
        <v>19233693.725360699</v>
      </c>
      <c r="J13" s="316">
        <f t="shared" si="16"/>
        <v>21570587.512992024</v>
      </c>
      <c r="K13" s="316">
        <f t="shared" si="16"/>
        <v>24191413.895820554</v>
      </c>
      <c r="L13" s="316">
        <f t="shared" si="16"/>
        <v>27130670.684162751</v>
      </c>
    </row>
    <row r="14" spans="1:12" x14ac:dyDescent="0.2">
      <c r="A14" s="317" t="s">
        <v>598</v>
      </c>
      <c r="B14" s="317"/>
      <c r="C14" s="323">
        <f t="shared" ref="C14:H14" si="17">(C12-B12)/B12</f>
        <v>0.48053043478260871</v>
      </c>
      <c r="D14" s="323">
        <f t="shared" si="17"/>
        <v>1.3314010059066179</v>
      </c>
      <c r="E14" s="329">
        <f t="shared" si="17"/>
        <v>2.3398172718417252</v>
      </c>
      <c r="F14" s="323">
        <f t="shared" si="17"/>
        <v>1.4127453869417286</v>
      </c>
      <c r="G14" s="324">
        <f t="shared" si="17"/>
        <v>0.59358974358974359</v>
      </c>
      <c r="H14" s="324">
        <f t="shared" si="17"/>
        <v>0.12149999999999989</v>
      </c>
      <c r="I14" s="324">
        <f t="shared" ref="I14:L14" si="18">(I12-H12)/H12</f>
        <v>0.12149999999999987</v>
      </c>
      <c r="J14" s="324">
        <f t="shared" si="18"/>
        <v>0.12150000000000002</v>
      </c>
      <c r="K14" s="324">
        <f t="shared" si="18"/>
        <v>0.12149999999999996</v>
      </c>
      <c r="L14" s="324">
        <f t="shared" si="18"/>
        <v>0.12149999999999997</v>
      </c>
    </row>
    <row r="15" spans="1:12" x14ac:dyDescent="0.2">
      <c r="A15" s="317" t="s">
        <v>602</v>
      </c>
      <c r="B15" s="323">
        <f t="shared" ref="B15:L15" si="19">B12/B3</f>
        <v>2.2551473738808833E-2</v>
      </c>
      <c r="C15" s="323">
        <f t="shared" si="19"/>
        <v>3.0707239887555339E-2</v>
      </c>
      <c r="D15" s="323">
        <f t="shared" si="19"/>
        <v>8.1222708555387241E-2</v>
      </c>
      <c r="E15" s="323">
        <f t="shared" si="19"/>
        <v>0.17680350723879895</v>
      </c>
      <c r="F15" s="323">
        <f t="shared" si="19"/>
        <v>0.3181066532925812</v>
      </c>
      <c r="G15" s="324">
        <f t="shared" si="19"/>
        <v>0.3983930631309317</v>
      </c>
      <c r="H15" s="324">
        <f t="shared" si="19"/>
        <v>0.41613030261003603</v>
      </c>
      <c r="I15" s="324">
        <f t="shared" si="19"/>
        <v>0.43277542706315064</v>
      </c>
      <c r="J15" s="324">
        <f t="shared" si="19"/>
        <v>0.44789821328775703</v>
      </c>
      <c r="K15" s="324">
        <f t="shared" si="19"/>
        <v>0.47049516645677653</v>
      </c>
      <c r="L15" s="324">
        <f t="shared" si="19"/>
        <v>0.48581993091899611</v>
      </c>
    </row>
    <row r="16" spans="1:12" x14ac:dyDescent="0.2">
      <c r="A16" s="279" t="s">
        <v>609</v>
      </c>
      <c r="B16" s="325">
        <v>30</v>
      </c>
      <c r="C16" s="325">
        <v>68</v>
      </c>
      <c r="D16" s="325">
        <v>200</v>
      </c>
      <c r="E16" s="325">
        <v>400</v>
      </c>
      <c r="F16" s="325">
        <v>1000</v>
      </c>
      <c r="G16" s="316">
        <f>1243*100/78</f>
        <v>1593.5897435897436</v>
      </c>
      <c r="H16" s="316">
        <f>H13/H18</f>
        <v>1902.0101847873666</v>
      </c>
      <c r="I16" s="316">
        <f>I13/I18</f>
        <v>2235.7251334282928</v>
      </c>
      <c r="J16" s="316">
        <f>J13/J18</f>
        <v>2455.4488295398805</v>
      </c>
      <c r="K16" s="316">
        <f>K13/K18</f>
        <v>2613.4379676030494</v>
      </c>
      <c r="L16" s="316">
        <f>L13/L18</f>
        <v>2967.6484884234728</v>
      </c>
    </row>
    <row r="17" spans="1:13" x14ac:dyDescent="0.2">
      <c r="A17" s="279" t="s">
        <v>606</v>
      </c>
      <c r="B17" s="326"/>
      <c r="C17" s="326">
        <f t="shared" ref="C17:G17" si="20">(C16-B16)/B16</f>
        <v>1.2666666666666666</v>
      </c>
      <c r="D17" s="326">
        <f t="shared" si="20"/>
        <v>1.9411764705882353</v>
      </c>
      <c r="E17" s="326">
        <f t="shared" si="20"/>
        <v>1</v>
      </c>
      <c r="F17" s="326">
        <f t="shared" si="20"/>
        <v>1.5</v>
      </c>
      <c r="G17" s="330">
        <f t="shared" si="20"/>
        <v>0.5935897435897437</v>
      </c>
      <c r="H17" s="327">
        <f>(H16-G16)/G16</f>
        <v>0.19353816905401922</v>
      </c>
      <c r="I17" s="327">
        <f t="shared" ref="I17:L17" si="21">(I16-H16)/H16</f>
        <v>0.17545381791855838</v>
      </c>
      <c r="J17" s="327">
        <f t="shared" si="21"/>
        <v>9.8278492658290376E-2</v>
      </c>
      <c r="K17" s="327">
        <f t="shared" si="21"/>
        <v>6.4342264502727994E-2</v>
      </c>
      <c r="L17" s="327">
        <f t="shared" si="21"/>
        <v>0.13553431350249054</v>
      </c>
    </row>
    <row r="18" spans="1:13" x14ac:dyDescent="0.2">
      <c r="A18" s="279" t="s">
        <v>608</v>
      </c>
      <c r="B18" s="331">
        <f>B12/B16</f>
        <v>11500</v>
      </c>
      <c r="C18" s="331">
        <f>C12/C16</f>
        <v>7511.5147058823532</v>
      </c>
      <c r="D18" s="331">
        <f>D12/D16</f>
        <v>5954.2</v>
      </c>
      <c r="E18" s="331">
        <f>E12/E16</f>
        <v>9942.9699999999993</v>
      </c>
      <c r="F18" s="331">
        <f>F12/F16</f>
        <v>9595.9419999999991</v>
      </c>
      <c r="G18" s="332">
        <f>F18</f>
        <v>9595.9419999999991</v>
      </c>
      <c r="H18" s="316">
        <f>AVERAGE(B18:G18)</f>
        <v>9016.7614509803916</v>
      </c>
      <c r="I18" s="316">
        <f t="shared" ref="I18:L18" si="22">AVERAGE(C18:H18)</f>
        <v>8602.8883594771232</v>
      </c>
      <c r="J18" s="316">
        <f t="shared" si="22"/>
        <v>8784.7839684095852</v>
      </c>
      <c r="K18" s="316">
        <f t="shared" si="22"/>
        <v>9256.5479631445178</v>
      </c>
      <c r="L18" s="316">
        <f t="shared" si="22"/>
        <v>9142.1442903352709</v>
      </c>
      <c r="M18" s="224"/>
    </row>
    <row r="19" spans="1:13" x14ac:dyDescent="0.2">
      <c r="A19" s="279" t="s">
        <v>627</v>
      </c>
      <c r="B19" s="333">
        <f t="shared" ref="B19:L19" si="23">B8+B15</f>
        <v>1</v>
      </c>
      <c r="C19" s="333">
        <f t="shared" si="23"/>
        <v>0.9999999398820244</v>
      </c>
      <c r="D19" s="333">
        <f t="shared" si="23"/>
        <v>1.0003512620915154</v>
      </c>
      <c r="E19" s="333">
        <f t="shared" si="23"/>
        <v>1.0017919568742528</v>
      </c>
      <c r="F19" s="333">
        <f t="shared" si="23"/>
        <v>1.0039438700798962</v>
      </c>
      <c r="G19" s="333">
        <f t="shared" si="23"/>
        <v>0.99999999999999989</v>
      </c>
      <c r="H19" s="333">
        <f t="shared" si="23"/>
        <v>1</v>
      </c>
      <c r="I19" s="333">
        <f t="shared" si="23"/>
        <v>0.99999999999999989</v>
      </c>
      <c r="J19" s="333">
        <f t="shared" si="23"/>
        <v>1</v>
      </c>
      <c r="K19" s="333">
        <f t="shared" si="23"/>
        <v>1</v>
      </c>
      <c r="L19" s="333">
        <f t="shared" si="23"/>
        <v>1</v>
      </c>
    </row>
    <row r="20" spans="1:13" x14ac:dyDescent="0.2"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</row>
    <row r="21" spans="1:13" x14ac:dyDescent="0.2">
      <c r="A21" s="334" t="s">
        <v>607</v>
      </c>
      <c r="E21" s="315">
        <v>1247259</v>
      </c>
      <c r="F21" s="315">
        <v>6980526</v>
      </c>
      <c r="G21" s="335"/>
      <c r="H21" s="335"/>
      <c r="J21" s="335"/>
      <c r="K21" s="335"/>
      <c r="L21" s="335"/>
    </row>
    <row r="22" spans="1:13" x14ac:dyDescent="0.2">
      <c r="A22" s="336" t="s">
        <v>598</v>
      </c>
      <c r="G22" s="335"/>
      <c r="H22" s="335"/>
      <c r="I22" s="335"/>
      <c r="J22" s="335"/>
      <c r="K22" s="335"/>
      <c r="L22" s="335"/>
    </row>
    <row r="23" spans="1:13" x14ac:dyDescent="0.2">
      <c r="A23" s="315" t="s">
        <v>629</v>
      </c>
      <c r="C23" s="315" t="s">
        <v>903</v>
      </c>
      <c r="G23" s="335"/>
      <c r="H23" s="335"/>
      <c r="I23" s="335"/>
      <c r="J23" s="335"/>
      <c r="K23" s="335"/>
      <c r="L23" s="335"/>
    </row>
    <row r="24" spans="1:13" x14ac:dyDescent="0.2">
      <c r="A24" s="337" t="s">
        <v>603</v>
      </c>
      <c r="G24" s="335"/>
      <c r="H24" s="335"/>
      <c r="I24" s="335"/>
      <c r="J24" s="335"/>
      <c r="K24" s="335"/>
      <c r="L24" s="335"/>
    </row>
    <row r="25" spans="1:13" x14ac:dyDescent="0.2">
      <c r="A25" s="315" t="s">
        <v>604</v>
      </c>
      <c r="B25" s="322">
        <f>'FPT Digital Retail JSC | Income'!E49/'FPT Digital Retail JSC | Income'!E23</f>
        <v>5.1051307217419415E-5</v>
      </c>
      <c r="C25" s="322">
        <f>'FPT Digital Retail JSC | Income'!F49/'FPT Digital Retail JSC | Income'!F23</f>
        <v>5.0318745506181332E-5</v>
      </c>
      <c r="D25" s="322">
        <f>'FPT Digital Retail JSC | Income'!G49/'FPT Digital Retail JSC | Income'!G23</f>
        <v>9.3578949428967199E-5</v>
      </c>
      <c r="E25" s="322">
        <f>'FPT Digital Retail JSC | Income'!H49/'FPT Digital Retail JSC | Income'!H23</f>
        <v>1.6941571936932899E-4</v>
      </c>
      <c r="F25" s="322">
        <f>'FPT Digital Retail JSC | Income'!I49/'FPT Digital Retail JSC | Income'!I23</f>
        <v>3.8217450284181082E-3</v>
      </c>
      <c r="G25" s="338">
        <v>3.8217450284181082E-3</v>
      </c>
      <c r="H25" s="338">
        <v>3.8217450284181082E-3</v>
      </c>
      <c r="I25" s="338">
        <v>3.8217450284181082E-3</v>
      </c>
      <c r="J25" s="338">
        <v>3.8217450284181082E-3</v>
      </c>
      <c r="K25" s="338">
        <v>3.8217450284181082E-3</v>
      </c>
      <c r="L25" s="338">
        <v>3.82174502841811E-3</v>
      </c>
    </row>
    <row r="26" spans="1:13" x14ac:dyDescent="0.2">
      <c r="A26" s="315" t="s">
        <v>629</v>
      </c>
      <c r="B26" s="315">
        <f t="shared" ref="B26:L26" si="24">B9+B16</f>
        <v>563</v>
      </c>
      <c r="C26" s="315">
        <f t="shared" si="24"/>
        <v>661</v>
      </c>
      <c r="D26" s="315">
        <f t="shared" si="24"/>
        <v>795</v>
      </c>
      <c r="E26" s="315">
        <f t="shared" si="24"/>
        <v>1047</v>
      </c>
      <c r="F26" s="315">
        <f t="shared" si="24"/>
        <v>1786</v>
      </c>
      <c r="G26" s="315">
        <f t="shared" si="24"/>
        <v>2458.1761121709474</v>
      </c>
      <c r="H26" s="315">
        <f t="shared" si="24"/>
        <v>2816.5965533685703</v>
      </c>
      <c r="I26" s="315">
        <f t="shared" si="24"/>
        <v>3200.3115020094965</v>
      </c>
      <c r="J26" s="315">
        <f t="shared" si="24"/>
        <v>3446.401936182071</v>
      </c>
      <c r="K26" s="315">
        <f t="shared" si="24"/>
        <v>3642.3135274152792</v>
      </c>
      <c r="L26" s="315">
        <f t="shared" si="24"/>
        <v>4051.6472210302063</v>
      </c>
    </row>
    <row r="27" spans="1:13" x14ac:dyDescent="0.2">
      <c r="A27" s="339" t="s">
        <v>630</v>
      </c>
      <c r="B27" s="256">
        <f t="shared" ref="B27:L27" si="25">B9/B26</f>
        <v>0.94671403197158077</v>
      </c>
      <c r="C27" s="256">
        <f t="shared" si="25"/>
        <v>0.89712556732223903</v>
      </c>
      <c r="D27" s="256">
        <f t="shared" si="25"/>
        <v>0.74842767295597479</v>
      </c>
      <c r="E27" s="256">
        <f t="shared" si="25"/>
        <v>0.61795606494746891</v>
      </c>
      <c r="F27" s="256">
        <f t="shared" si="25"/>
        <v>0.44008958566629341</v>
      </c>
      <c r="G27" s="256">
        <f t="shared" si="25"/>
        <v>0.35171864387602442</v>
      </c>
      <c r="H27" s="256">
        <f t="shared" si="25"/>
        <v>0.32471330247400326</v>
      </c>
      <c r="I27" s="256">
        <f t="shared" si="25"/>
        <v>0.30140390020644353</v>
      </c>
      <c r="J27" s="256">
        <f t="shared" si="25"/>
        <v>0.28753265724425919</v>
      </c>
      <c r="K27" s="256">
        <f t="shared" si="25"/>
        <v>0.28247858183212415</v>
      </c>
      <c r="L27" s="256">
        <f t="shared" si="25"/>
        <v>0.26754519173836327</v>
      </c>
    </row>
    <row r="28" spans="1:13" x14ac:dyDescent="0.2">
      <c r="A28" s="339" t="s">
        <v>631</v>
      </c>
      <c r="B28" s="256">
        <f t="shared" ref="B28:L28" si="26">B16/B26</f>
        <v>5.328596802841918E-2</v>
      </c>
      <c r="C28" s="256">
        <f t="shared" si="26"/>
        <v>0.10287443267776097</v>
      </c>
      <c r="D28" s="256">
        <f t="shared" si="26"/>
        <v>0.25157232704402516</v>
      </c>
      <c r="E28" s="256">
        <f t="shared" si="26"/>
        <v>0.38204393505253104</v>
      </c>
      <c r="F28" s="256">
        <f t="shared" si="26"/>
        <v>0.55991041433370659</v>
      </c>
      <c r="G28" s="256">
        <f t="shared" si="26"/>
        <v>0.64828135612397553</v>
      </c>
      <c r="H28" s="256">
        <f t="shared" si="26"/>
        <v>0.67528669752599668</v>
      </c>
      <c r="I28" s="256">
        <f t="shared" si="26"/>
        <v>0.69859609979355641</v>
      </c>
      <c r="J28" s="256">
        <f t="shared" si="26"/>
        <v>0.71246734275574086</v>
      </c>
      <c r="K28" s="256">
        <f t="shared" si="26"/>
        <v>0.71752141816787585</v>
      </c>
      <c r="L28" s="256">
        <f t="shared" si="26"/>
        <v>0.73245480826163667</v>
      </c>
    </row>
    <row r="32" spans="1:13" ht="16" thickBot="1" x14ac:dyDescent="0.25"/>
    <row r="33" spans="1:14" s="193" customFormat="1" ht="16" thickBot="1" x14ac:dyDescent="0.25">
      <c r="A33" s="340" t="s">
        <v>632</v>
      </c>
      <c r="B33" s="341"/>
      <c r="C33" s="341"/>
      <c r="D33" s="342">
        <v>70.056838365896994</v>
      </c>
      <c r="E33" s="342">
        <v>3423.4311649016599</v>
      </c>
      <c r="F33" s="342">
        <v>3423.4311649016599</v>
      </c>
      <c r="G33" s="342">
        <v>2566.35849056604</v>
      </c>
      <c r="H33" s="342">
        <v>1290.2922636103201</v>
      </c>
      <c r="I33" s="342">
        <v>228039.900335946</v>
      </c>
      <c r="J33" s="341">
        <v>53109.743096622202</v>
      </c>
      <c r="K33" s="341">
        <v>25737.688844198401</v>
      </c>
      <c r="L33" s="341">
        <v>30380.882732121099</v>
      </c>
      <c r="M33" s="341">
        <v>22557.942176954501</v>
      </c>
      <c r="N33" s="341">
        <v>55652.743108081697</v>
      </c>
    </row>
    <row r="34" spans="1:14" s="193" customFormat="1" x14ac:dyDescent="0.2">
      <c r="A34" s="340" t="s">
        <v>633</v>
      </c>
      <c r="B34" s="341"/>
      <c r="C34" s="341"/>
      <c r="D34" s="342">
        <v>3.9431616341030198</v>
      </c>
      <c r="E34" s="342">
        <v>392.56883509833602</v>
      </c>
      <c r="F34" s="342">
        <v>392.56883509833602</v>
      </c>
      <c r="G34" s="342">
        <v>862.64150943396203</v>
      </c>
      <c r="H34" s="342">
        <v>797.70773638968501</v>
      </c>
      <c r="I34" s="342">
        <v>290127.099664054</v>
      </c>
      <c r="J34" s="341">
        <v>63293.358979579003</v>
      </c>
      <c r="K34" s="341">
        <v>24774.278946435701</v>
      </c>
      <c r="L34" s="341">
        <v>27784.3538384276</v>
      </c>
      <c r="M34" s="341">
        <v>45804.732442104098</v>
      </c>
      <c r="N34" s="341">
        <v>59791.427969105403</v>
      </c>
    </row>
  </sheetData>
  <mergeCells count="2">
    <mergeCell ref="B1:F1"/>
    <mergeCell ref="G1:K1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7AA5-F5E3-D448-8364-A107A7EA869E}">
  <sheetPr codeName="Sheet5"/>
  <dimension ref="A1:G32"/>
  <sheetViews>
    <sheetView workbookViewId="0">
      <selection activeCell="D7" sqref="D7:F7"/>
    </sheetView>
  </sheetViews>
  <sheetFormatPr baseColWidth="10" defaultRowHeight="15" x14ac:dyDescent="0.2"/>
  <cols>
    <col min="1" max="1" width="14.83203125" customWidth="1"/>
    <col min="2" max="6" width="13.1640625" bestFit="1" customWidth="1"/>
  </cols>
  <sheetData>
    <row r="1" spans="1:7" ht="24" x14ac:dyDescent="0.3">
      <c r="A1" s="442" t="s">
        <v>689</v>
      </c>
      <c r="B1" s="442"/>
      <c r="C1" s="442"/>
      <c r="D1" s="442"/>
      <c r="E1" s="442"/>
      <c r="F1" s="442"/>
    </row>
    <row r="2" spans="1:7" x14ac:dyDescent="0.2">
      <c r="A2" t="s">
        <v>625</v>
      </c>
      <c r="B2">
        <v>2018</v>
      </c>
      <c r="C2">
        <v>2019</v>
      </c>
      <c r="D2">
        <v>2020</v>
      </c>
      <c r="E2">
        <v>2021</v>
      </c>
      <c r="F2">
        <v>2022</v>
      </c>
    </row>
    <row r="3" spans="1:7" x14ac:dyDescent="0.2">
      <c r="A3" s="76" t="s">
        <v>723</v>
      </c>
      <c r="B3" s="68">
        <f>'FPT Digital Retail JSC | Income'!E89/'FPT Digital Retail JSC | Income'!E23</f>
        <v>2.2732081628490945E-2</v>
      </c>
      <c r="C3" s="68">
        <f>'FPT Digital Retail JSC | Income'!F89/'FPT Digital Retail JSC | Income'!F23</f>
        <v>1.2806030554359875E-2</v>
      </c>
      <c r="D3" s="68">
        <f>'FPT Digital Retail JSC | Income'!G89/'FPT Digital Retail JSC | Income'!G23</f>
        <v>1.6859898330427406E-3</v>
      </c>
      <c r="E3" s="68">
        <f>'FPT Digital Retail JSC | Income'!H89/'FPT Digital Retail JSC | Income'!H23</f>
        <v>1.9725839933663367E-2</v>
      </c>
      <c r="F3" s="68">
        <f>'FPT Digital Retail JSC | Income'!I89/'FPT Digital Retail JSC | Income'!I23</f>
        <v>1.2940514989142837E-2</v>
      </c>
      <c r="G3" t="s">
        <v>732</v>
      </c>
    </row>
    <row r="4" spans="1:7" x14ac:dyDescent="0.2">
      <c r="A4" s="76" t="s">
        <v>522</v>
      </c>
      <c r="B4" s="69">
        <f>'Key financial ratios'!E25</f>
        <v>3.39</v>
      </c>
      <c r="C4" s="69">
        <f>'Key financial ratios'!F25</f>
        <v>2.83</v>
      </c>
      <c r="D4" s="69">
        <f>'Key financial ratios'!G25</f>
        <v>2.4500000000000002</v>
      </c>
      <c r="E4" s="69">
        <f>'Key financial ratios'!H25</f>
        <v>2.78</v>
      </c>
      <c r="F4" s="69">
        <f>'Key financial ratios'!I25</f>
        <v>2.83</v>
      </c>
    </row>
    <row r="5" spans="1:7" x14ac:dyDescent="0.2">
      <c r="A5" s="142" t="s">
        <v>720</v>
      </c>
      <c r="B5" s="187">
        <f>'FPT Digital Retail JSC | BS'!D71/'FPT Digital Retail JSC | BS'!D111</f>
        <v>4.5578995275109966</v>
      </c>
      <c r="C5" s="187">
        <f>'FPT Digital Retail JSC | BS'!E71/'FPT Digital Retail JSC | BS'!E111</f>
        <v>5.1767593658290716</v>
      </c>
      <c r="D5" s="187">
        <f>'FPT Digital Retail JSC | BS'!F71/'FPT Digital Retail JSC | BS'!F111</f>
        <v>4.4388750014418408</v>
      </c>
      <c r="E5" s="187">
        <f>'FPT Digital Retail JSC | BS'!G71/'FPT Digital Retail JSC | BS'!G111</f>
        <v>6.4890007748729399</v>
      </c>
      <c r="F5" s="187">
        <f>'FPT Digital Retail JSC | BS'!H71/'FPT Digital Retail JSC | BS'!H111</f>
        <v>5.2403319140079008</v>
      </c>
      <c r="G5" t="s">
        <v>731</v>
      </c>
    </row>
    <row r="6" spans="1:7" ht="16" thickBot="1" x14ac:dyDescent="0.25">
      <c r="B6" s="68">
        <f>B3*B4*B5</f>
        <v>0.35123974454591861</v>
      </c>
      <c r="C6" s="68">
        <f t="shared" ref="C6:E6" si="0">C3*C4*C5</f>
        <v>0.18761128027019336</v>
      </c>
      <c r="D6" s="68">
        <f>D3*D4*D5</f>
        <v>1.8335550400317386E-2</v>
      </c>
      <c r="E6" s="68">
        <f t="shared" si="0"/>
        <v>0.35584275390848008</v>
      </c>
      <c r="F6" s="68">
        <f>F3*F4*F5</f>
        <v>0.19190964011808695</v>
      </c>
    </row>
    <row r="7" spans="1:7" x14ac:dyDescent="0.2">
      <c r="A7" s="33" t="s">
        <v>533</v>
      </c>
      <c r="B7" s="38">
        <v>0.36</v>
      </c>
      <c r="C7" s="38">
        <v>0.17699999999999999</v>
      </c>
      <c r="D7" s="38">
        <v>0.02</v>
      </c>
      <c r="E7" s="38">
        <v>0.309</v>
      </c>
      <c r="F7" s="38">
        <v>0.21299999999999999</v>
      </c>
    </row>
    <row r="11" spans="1:7" x14ac:dyDescent="0.2">
      <c r="A11" s="175" t="s">
        <v>724</v>
      </c>
    </row>
    <row r="12" spans="1:7" x14ac:dyDescent="0.2">
      <c r="A12" t="s">
        <v>625</v>
      </c>
      <c r="B12">
        <v>2018</v>
      </c>
      <c r="C12">
        <v>2019</v>
      </c>
      <c r="D12">
        <v>2020</v>
      </c>
      <c r="E12">
        <v>2021</v>
      </c>
      <c r="F12">
        <v>2022</v>
      </c>
    </row>
    <row r="13" spans="1:7" ht="16" thickBot="1" x14ac:dyDescent="0.25">
      <c r="A13" t="s">
        <v>723</v>
      </c>
      <c r="B13" s="68">
        <f>'Peers '!B18</f>
        <v>3.3000000000000002E-2</v>
      </c>
      <c r="C13" s="68">
        <f>'Peers '!C18</f>
        <v>3.7999999999999999E-2</v>
      </c>
      <c r="D13" s="68">
        <f>'Peers '!D18</f>
        <v>3.5999999999999997E-2</v>
      </c>
      <c r="E13" s="68">
        <f>'Peers '!E18</f>
        <v>0.04</v>
      </c>
      <c r="F13" s="68">
        <f>'Peers '!F18</f>
        <v>3.1E-2</v>
      </c>
      <c r="G13" t="s">
        <v>729</v>
      </c>
    </row>
    <row r="14" spans="1:7" x14ac:dyDescent="0.2">
      <c r="A14" t="s">
        <v>522</v>
      </c>
      <c r="B14" s="36">
        <v>3.4</v>
      </c>
      <c r="C14" s="36">
        <v>2.93</v>
      </c>
      <c r="D14" s="36">
        <v>2.4700000000000002</v>
      </c>
      <c r="E14" s="36">
        <v>2.2599999999999998</v>
      </c>
      <c r="F14" s="36">
        <v>2.25</v>
      </c>
      <c r="G14" t="s">
        <v>730</v>
      </c>
    </row>
    <row r="15" spans="1:7" x14ac:dyDescent="0.2">
      <c r="A15" t="s">
        <v>720</v>
      </c>
      <c r="B15">
        <f>'Peers '!P20</f>
        <v>3.13</v>
      </c>
      <c r="C15">
        <f>'Peers '!Q20</f>
        <v>3.44</v>
      </c>
      <c r="D15">
        <f>'Peers '!R20</f>
        <v>2.98</v>
      </c>
      <c r="E15">
        <f>'Peers '!S20</f>
        <v>3.09</v>
      </c>
      <c r="F15">
        <f>'Peers '!T20</f>
        <v>2.33</v>
      </c>
      <c r="G15" t="s">
        <v>728</v>
      </c>
    </row>
    <row r="16" spans="1:7" x14ac:dyDescent="0.2">
      <c r="B16" s="68">
        <f>B15*B14*B13</f>
        <v>0.351186</v>
      </c>
      <c r="C16" s="68">
        <f t="shared" ref="C16:F16" si="1">C15*C14*C13</f>
        <v>0.38300960000000001</v>
      </c>
      <c r="D16" s="68">
        <f t="shared" si="1"/>
        <v>0.26498159999999998</v>
      </c>
      <c r="E16" s="68">
        <f t="shared" si="1"/>
        <v>0.27933599999999997</v>
      </c>
      <c r="F16" s="68">
        <f t="shared" si="1"/>
        <v>0.16251749999999998</v>
      </c>
    </row>
    <row r="18" spans="1:7" x14ac:dyDescent="0.2">
      <c r="A18" s="175" t="s">
        <v>717</v>
      </c>
    </row>
    <row r="19" spans="1:7" x14ac:dyDescent="0.2">
      <c r="A19" t="s">
        <v>625</v>
      </c>
      <c r="B19">
        <v>2018</v>
      </c>
      <c r="C19">
        <v>2019</v>
      </c>
      <c r="D19">
        <v>2020</v>
      </c>
      <c r="E19">
        <v>2021</v>
      </c>
      <c r="F19">
        <v>2022</v>
      </c>
    </row>
    <row r="20" spans="1:7" ht="16" thickBot="1" x14ac:dyDescent="0.25">
      <c r="A20" t="s">
        <v>723</v>
      </c>
      <c r="B20" s="68">
        <f>'Peers '!B14</f>
        <v>1.7999999999999999E-2</v>
      </c>
      <c r="C20" s="68">
        <f>'Peers '!C14</f>
        <v>1.9E-2</v>
      </c>
      <c r="D20" s="68">
        <f>'Peers '!D14</f>
        <v>2.1000000000000001E-2</v>
      </c>
      <c r="E20" s="68">
        <f>'Peers '!E14</f>
        <v>3.1E-2</v>
      </c>
      <c r="F20" s="68">
        <f>'Peers '!F14</f>
        <v>3.1E-2</v>
      </c>
      <c r="G20" t="s">
        <v>725</v>
      </c>
    </row>
    <row r="21" spans="1:7" x14ac:dyDescent="0.2">
      <c r="A21" t="s">
        <v>522</v>
      </c>
      <c r="B21" s="36">
        <v>3.11</v>
      </c>
      <c r="C21" s="36">
        <v>3.67</v>
      </c>
      <c r="D21" s="36">
        <v>4.58</v>
      </c>
      <c r="E21" s="36">
        <v>4.3499999999999996</v>
      </c>
      <c r="F21" s="36">
        <v>3.42</v>
      </c>
      <c r="G21" t="s">
        <v>726</v>
      </c>
    </row>
    <row r="22" spans="1:7" x14ac:dyDescent="0.2">
      <c r="A22" t="s">
        <v>720</v>
      </c>
      <c r="B22">
        <f>'Peers '!P14</f>
        <v>2.9</v>
      </c>
      <c r="C22">
        <f>'Peers '!Q14</f>
        <v>2.61</v>
      </c>
      <c r="D22">
        <f>'Peers '!R14</f>
        <v>2.65</v>
      </c>
      <c r="E22">
        <f>'Peers '!S14</f>
        <v>3.68</v>
      </c>
      <c r="F22">
        <f>'Peers '!T14</f>
        <v>2.65</v>
      </c>
      <c r="G22" t="s">
        <v>727</v>
      </c>
    </row>
    <row r="23" spans="1:7" x14ac:dyDescent="0.2">
      <c r="B23" s="68">
        <f>B22*B21*B20</f>
        <v>0.16234199999999999</v>
      </c>
      <c r="C23" s="68">
        <f t="shared" ref="C23:F23" si="2">C22*C21*C20</f>
        <v>0.1819953</v>
      </c>
      <c r="D23" s="68">
        <f t="shared" si="2"/>
        <v>0.25487700000000002</v>
      </c>
      <c r="E23" s="68">
        <f t="shared" si="2"/>
        <v>0.49624799999999997</v>
      </c>
      <c r="F23" s="68">
        <f t="shared" si="2"/>
        <v>0.28095299999999995</v>
      </c>
    </row>
    <row r="25" spans="1:7" x14ac:dyDescent="0.2">
      <c r="A25" s="175" t="s">
        <v>709</v>
      </c>
    </row>
    <row r="26" spans="1:7" x14ac:dyDescent="0.2">
      <c r="A26" t="s">
        <v>625</v>
      </c>
      <c r="B26">
        <v>2018</v>
      </c>
      <c r="C26">
        <v>2019</v>
      </c>
      <c r="D26">
        <v>2020</v>
      </c>
      <c r="E26">
        <v>2021</v>
      </c>
      <c r="F26">
        <v>2022</v>
      </c>
    </row>
    <row r="27" spans="1:7" ht="16" thickBot="1" x14ac:dyDescent="0.25">
      <c r="A27" t="s">
        <v>723</v>
      </c>
      <c r="B27" s="68">
        <f>'Peers '!B22</f>
        <v>1.2E-2</v>
      </c>
      <c r="C27" s="68">
        <f>'Peers '!C22</f>
        <v>1.2999999999999999E-2</v>
      </c>
      <c r="D27" s="68">
        <f>'Peers '!D22</f>
        <v>0.01</v>
      </c>
      <c r="E27" s="68">
        <f>'Peers '!E22</f>
        <v>1.7999999999999999E-2</v>
      </c>
      <c r="F27" s="68">
        <f>'Peers '!F22</f>
        <v>0.01</v>
      </c>
    </row>
    <row r="28" spans="1:7" x14ac:dyDescent="0.2">
      <c r="A28" t="s">
        <v>522</v>
      </c>
      <c r="B28" s="36">
        <v>1.89</v>
      </c>
      <c r="C28" s="36">
        <v>1.9</v>
      </c>
      <c r="D28" s="36">
        <v>2.38</v>
      </c>
      <c r="E28" s="36">
        <v>2.38</v>
      </c>
      <c r="F28" s="36">
        <v>2</v>
      </c>
    </row>
    <row r="29" spans="1:7" x14ac:dyDescent="0.2">
      <c r="A29" t="s">
        <v>720</v>
      </c>
      <c r="B29">
        <f>'Peers '!P26</f>
        <v>3.77</v>
      </c>
      <c r="C29">
        <f>'Peers '!Q26</f>
        <v>3.29</v>
      </c>
      <c r="D29">
        <f>'Peers '!R26</f>
        <v>4.0999999999999996</v>
      </c>
      <c r="E29">
        <f>'Peers '!S26</f>
        <v>4.68</v>
      </c>
      <c r="F29">
        <f>'Peers '!T26</f>
        <v>4.67</v>
      </c>
      <c r="G29" t="s">
        <v>733</v>
      </c>
    </row>
    <row r="30" spans="1:7" x14ac:dyDescent="0.2">
      <c r="B30" s="68">
        <f>B29*B28*B27</f>
        <v>8.5503599999999999E-2</v>
      </c>
      <c r="C30" s="68">
        <f t="shared" ref="C30:F30" si="3">C29*C28*C27</f>
        <v>8.1262999999999988E-2</v>
      </c>
      <c r="D30" s="68">
        <f t="shared" si="3"/>
        <v>9.758E-2</v>
      </c>
      <c r="E30" s="68">
        <f t="shared" si="3"/>
        <v>0.20049119999999995</v>
      </c>
      <c r="F30" s="68">
        <f t="shared" si="3"/>
        <v>9.3399999999999997E-2</v>
      </c>
    </row>
    <row r="32" spans="1:7" x14ac:dyDescent="0.2">
      <c r="B32" s="147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8410-1411-F84F-93B2-9094363452B9}">
  <sheetPr codeName="Sheet6"/>
  <dimension ref="A1:P57"/>
  <sheetViews>
    <sheetView topLeftCell="A16" zoomScaleNormal="100" workbookViewId="0">
      <selection activeCell="E41" sqref="E41"/>
    </sheetView>
  </sheetViews>
  <sheetFormatPr baseColWidth="10" defaultColWidth="8.83203125" defaultRowHeight="15" x14ac:dyDescent="0.2"/>
  <cols>
    <col min="1" max="1" width="31.83203125" bestFit="1" customWidth="1"/>
    <col min="2" max="2" width="13.83203125" bestFit="1" customWidth="1"/>
    <col min="3" max="3" width="5.6640625" hidden="1" customWidth="1"/>
    <col min="4" max="4" width="17.33203125" hidden="1" customWidth="1"/>
    <col min="5" max="9" width="17.33203125" bestFit="1" customWidth="1"/>
    <col min="10" max="10" width="12.1640625" customWidth="1"/>
  </cols>
  <sheetData>
    <row r="1" spans="1:9" x14ac:dyDescent="0.2">
      <c r="A1" s="1" t="s">
        <v>492</v>
      </c>
    </row>
    <row r="3" spans="1:9" x14ac:dyDescent="0.2">
      <c r="A3" s="2" t="s">
        <v>493</v>
      </c>
    </row>
    <row r="4" spans="1:9" ht="16" thickBot="1" x14ac:dyDescent="0.25">
      <c r="A4" s="2" t="s">
        <v>2</v>
      </c>
    </row>
    <row r="5" spans="1:9" ht="16" thickBot="1" x14ac:dyDescent="0.25">
      <c r="A5" s="29"/>
      <c r="B5" s="29" t="s">
        <v>494</v>
      </c>
      <c r="C5" s="4">
        <v>2016</v>
      </c>
      <c r="D5" s="4">
        <v>2017</v>
      </c>
      <c r="E5" s="4">
        <v>2018</v>
      </c>
      <c r="F5" s="4">
        <v>2019</v>
      </c>
      <c r="G5" s="4">
        <v>2020</v>
      </c>
      <c r="H5" s="4">
        <v>2021</v>
      </c>
      <c r="I5" s="4">
        <v>2022</v>
      </c>
    </row>
    <row r="6" spans="1:9" ht="14.25" customHeight="1" thickBot="1" x14ac:dyDescent="0.25">
      <c r="A6" s="5" t="s">
        <v>3</v>
      </c>
      <c r="B6" s="30">
        <v>69</v>
      </c>
      <c r="C6" s="6" t="s">
        <v>495</v>
      </c>
      <c r="D6" s="6" t="s">
        <v>495</v>
      </c>
      <c r="E6" s="7">
        <v>2</v>
      </c>
      <c r="F6" s="8">
        <v>17</v>
      </c>
      <c r="G6" s="9">
        <v>89</v>
      </c>
      <c r="H6" s="7">
        <v>10</v>
      </c>
      <c r="I6" s="8">
        <v>12</v>
      </c>
    </row>
    <row r="7" spans="1:9" ht="16" thickBot="1" x14ac:dyDescent="0.25">
      <c r="A7" s="31" t="s">
        <v>496</v>
      </c>
      <c r="B7" s="12"/>
      <c r="C7" s="32"/>
      <c r="D7" s="32"/>
      <c r="E7" s="32"/>
      <c r="F7" s="32"/>
      <c r="G7" s="32"/>
      <c r="H7" s="32"/>
      <c r="I7" s="32"/>
    </row>
    <row r="8" spans="1:9" ht="16" thickBot="1" x14ac:dyDescent="0.25">
      <c r="A8" s="33" t="s">
        <v>497</v>
      </c>
      <c r="B8" s="34" t="s">
        <v>498</v>
      </c>
      <c r="C8" s="35" t="s">
        <v>499</v>
      </c>
      <c r="D8" s="35" t="s">
        <v>499</v>
      </c>
      <c r="E8" s="35" t="s">
        <v>499</v>
      </c>
      <c r="F8" s="35" t="s">
        <v>499</v>
      </c>
      <c r="G8" s="35" t="s">
        <v>499</v>
      </c>
      <c r="H8" s="35" t="s">
        <v>499</v>
      </c>
      <c r="I8" s="35" t="s">
        <v>499</v>
      </c>
    </row>
    <row r="9" spans="1:9" ht="16" thickBot="1" x14ac:dyDescent="0.25">
      <c r="A9" s="33" t="s">
        <v>500</v>
      </c>
      <c r="B9" s="34" t="s">
        <v>498</v>
      </c>
      <c r="C9" s="36" t="s">
        <v>499</v>
      </c>
      <c r="D9" s="36" t="s">
        <v>499</v>
      </c>
      <c r="E9" s="36" t="s">
        <v>499</v>
      </c>
      <c r="F9" s="36" t="s">
        <v>499</v>
      </c>
      <c r="G9" s="36" t="s">
        <v>499</v>
      </c>
      <c r="H9" s="36" t="s">
        <v>499</v>
      </c>
      <c r="I9" s="36" t="s">
        <v>499</v>
      </c>
    </row>
    <row r="10" spans="1:9" ht="16" thickBot="1" x14ac:dyDescent="0.25">
      <c r="A10" s="33" t="s">
        <v>501</v>
      </c>
      <c r="B10" s="34" t="s">
        <v>498</v>
      </c>
      <c r="C10" s="36" t="s">
        <v>499</v>
      </c>
      <c r="D10" s="36" t="s">
        <v>499</v>
      </c>
      <c r="E10" s="36" t="s">
        <v>499</v>
      </c>
      <c r="F10" s="36" t="s">
        <v>499</v>
      </c>
      <c r="G10" s="36" t="s">
        <v>499</v>
      </c>
      <c r="H10" s="36" t="s">
        <v>499</v>
      </c>
      <c r="I10" s="36" t="s">
        <v>499</v>
      </c>
    </row>
    <row r="11" spans="1:9" ht="16" thickBot="1" x14ac:dyDescent="0.25">
      <c r="A11" s="33" t="s">
        <v>502</v>
      </c>
      <c r="B11" s="34" t="s">
        <v>498</v>
      </c>
      <c r="C11" s="36" t="s">
        <v>499</v>
      </c>
      <c r="D11" s="36" t="s">
        <v>499</v>
      </c>
      <c r="E11" s="36" t="s">
        <v>499</v>
      </c>
      <c r="F11" s="36" t="s">
        <v>499</v>
      </c>
      <c r="G11" s="36" t="s">
        <v>499</v>
      </c>
      <c r="H11" s="36" t="s">
        <v>499</v>
      </c>
      <c r="I11" s="36" t="s">
        <v>499</v>
      </c>
    </row>
    <row r="12" spans="1:9" ht="16" thickBot="1" x14ac:dyDescent="0.25">
      <c r="A12" s="33" t="s">
        <v>503</v>
      </c>
      <c r="B12" s="34" t="s">
        <v>498</v>
      </c>
      <c r="C12" s="37" t="s">
        <v>499</v>
      </c>
      <c r="D12" s="37">
        <v>473</v>
      </c>
      <c r="E12" s="37">
        <v>533</v>
      </c>
      <c r="F12" s="37">
        <v>663</v>
      </c>
      <c r="G12" s="37" t="s">
        <v>499</v>
      </c>
      <c r="H12" s="37" t="s">
        <v>499</v>
      </c>
      <c r="I12" s="37" t="s">
        <v>499</v>
      </c>
    </row>
    <row r="13" spans="1:9" ht="16" thickBot="1" x14ac:dyDescent="0.25">
      <c r="A13" s="33" t="s">
        <v>504</v>
      </c>
      <c r="B13" s="34" t="s">
        <v>498</v>
      </c>
      <c r="C13" s="38" t="s">
        <v>499</v>
      </c>
      <c r="D13" s="38" t="s">
        <v>499</v>
      </c>
      <c r="E13" s="38" t="s">
        <v>499</v>
      </c>
      <c r="F13" s="38" t="s">
        <v>499</v>
      </c>
      <c r="G13" s="38" t="s">
        <v>499</v>
      </c>
      <c r="H13" s="38" t="s">
        <v>499</v>
      </c>
      <c r="I13" s="38" t="s">
        <v>499</v>
      </c>
    </row>
    <row r="14" spans="1:9" ht="16" thickBot="1" x14ac:dyDescent="0.25">
      <c r="A14" s="33" t="s">
        <v>505</v>
      </c>
      <c r="B14" s="34" t="s">
        <v>498</v>
      </c>
      <c r="C14" s="36" t="s">
        <v>499</v>
      </c>
      <c r="D14" s="36" t="s">
        <v>499</v>
      </c>
      <c r="E14" s="36" t="s">
        <v>499</v>
      </c>
      <c r="F14" s="36" t="s">
        <v>499</v>
      </c>
      <c r="G14" s="36" t="s">
        <v>499</v>
      </c>
      <c r="H14" s="36" t="s">
        <v>499</v>
      </c>
      <c r="I14" s="36" t="s">
        <v>499</v>
      </c>
    </row>
    <row r="15" spans="1:9" ht="16" thickBot="1" x14ac:dyDescent="0.25">
      <c r="A15" s="33" t="s">
        <v>506</v>
      </c>
      <c r="B15" s="34" t="s">
        <v>498</v>
      </c>
      <c r="C15" s="37" t="s">
        <v>499</v>
      </c>
      <c r="D15" s="37" t="s">
        <v>499</v>
      </c>
      <c r="E15" s="37">
        <v>360325253</v>
      </c>
      <c r="F15" s="37" t="s">
        <v>499</v>
      </c>
      <c r="G15" s="37" t="s">
        <v>499</v>
      </c>
      <c r="H15" s="37" t="s">
        <v>499</v>
      </c>
      <c r="I15" s="37" t="s">
        <v>499</v>
      </c>
    </row>
    <row r="16" spans="1:9" ht="16" thickBot="1" x14ac:dyDescent="0.25">
      <c r="A16" s="33" t="s">
        <v>507</v>
      </c>
      <c r="B16" s="34" t="s">
        <v>498</v>
      </c>
      <c r="C16" s="38" t="s">
        <v>499</v>
      </c>
      <c r="D16" s="38" t="s">
        <v>499</v>
      </c>
      <c r="E16" s="38" t="s">
        <v>499</v>
      </c>
      <c r="F16" s="38" t="s">
        <v>499</v>
      </c>
      <c r="G16" s="38" t="s">
        <v>499</v>
      </c>
      <c r="H16" s="38" t="s">
        <v>499</v>
      </c>
      <c r="I16" s="38" t="s">
        <v>499</v>
      </c>
    </row>
    <row r="17" spans="1:10" ht="20" thickBot="1" x14ac:dyDescent="0.3">
      <c r="A17" s="47" t="s">
        <v>508</v>
      </c>
      <c r="B17" s="48"/>
      <c r="C17" s="49"/>
      <c r="D17" s="49"/>
      <c r="E17" s="49"/>
      <c r="F17" s="49"/>
      <c r="G17" s="49"/>
      <c r="H17" s="49"/>
      <c r="I17" s="49"/>
    </row>
    <row r="18" spans="1:10" ht="16" thickBot="1" x14ac:dyDescent="0.25">
      <c r="A18" s="33" t="s">
        <v>509</v>
      </c>
      <c r="B18" s="34" t="s">
        <v>510</v>
      </c>
      <c r="C18" s="38">
        <v>0.13</v>
      </c>
      <c r="D18" s="38">
        <v>0.13800000000000001</v>
      </c>
      <c r="E18" s="38">
        <f>'FPT Digital Retail JSC | Income'!E32/'FPT Digital Retail JSC | Income'!E23</f>
        <v>0.13358381810831049</v>
      </c>
      <c r="F18" s="38">
        <f>'FPT Digital Retail JSC | Income'!F32/'FPT Digital Retail JSC | Income'!F23</f>
        <v>0.12691247303708797</v>
      </c>
      <c r="G18" s="38">
        <f>'FPT Digital Retail JSC | Income'!G32/'FPT Digital Retail JSC | Income'!G23</f>
        <v>0.13920905462275576</v>
      </c>
      <c r="H18" s="38">
        <f>'FPT Digital Retail JSC | Income'!H32/'FPT Digital Retail JSC | Income'!H23</f>
        <v>0.14009862030878828</v>
      </c>
      <c r="I18" s="38">
        <f>'FPT Digital Retail JSC | Income'!I32/'FPT Digital Retail JSC | Income'!I23</f>
        <v>0.15591092707931078</v>
      </c>
      <c r="J18" s="443" t="s">
        <v>698</v>
      </c>
    </row>
    <row r="19" spans="1:10" ht="16" thickBot="1" x14ac:dyDescent="0.25">
      <c r="A19" s="33" t="s">
        <v>511</v>
      </c>
      <c r="B19" s="34" t="s">
        <v>512</v>
      </c>
      <c r="C19" s="38">
        <v>2.3E-2</v>
      </c>
      <c r="D19" s="38">
        <v>2.9000000000000001E-2</v>
      </c>
      <c r="E19" s="38">
        <f>'FPT Digital Retail JSC | Income'!E197/'FPT Digital Retail JSC | Income'!E23</f>
        <v>3.1401260333232345E-2</v>
      </c>
      <c r="F19" s="38">
        <f>'FPT Digital Retail JSC | Income'!F197/'FPT Digital Retail JSC | Income'!F23</f>
        <v>2.1483819848069852E-2</v>
      </c>
      <c r="G19" s="38">
        <f>'FPT Digital Retail JSC | Income'!G197/'FPT Digital Retail JSC | Income'!G23</f>
        <v>6.2607863892009891E-3</v>
      </c>
      <c r="H19" s="38">
        <f>'FPT Digital Retail JSC | Income'!H197/'FPT Digital Retail JSC | Income'!H23</f>
        <v>2.2866543311633215E-2</v>
      </c>
      <c r="I19" s="38">
        <f>'FPT Digital Retail JSC | Income'!I197/'FPT Digital Retail JSC | Income'!I23</f>
        <v>2.2914226610458645E-2</v>
      </c>
      <c r="J19" s="444"/>
    </row>
    <row r="20" spans="1:10" ht="16" thickBot="1" x14ac:dyDescent="0.25">
      <c r="A20" s="33" t="s">
        <v>513</v>
      </c>
      <c r="B20" s="34" t="s">
        <v>514</v>
      </c>
      <c r="C20" s="38">
        <v>2.1000000000000001E-2</v>
      </c>
      <c r="D20" s="38">
        <v>2.5000000000000001E-2</v>
      </c>
      <c r="E20" s="38">
        <f>'FPT Digital Retail JSC | Income'!E63/'FPT Digital Retail JSC | Income'!E23</f>
        <v>2.6328878273354585E-2</v>
      </c>
      <c r="F20" s="38">
        <f>'FPT Digital Retail JSC | Income'!F63/'FPT Digital Retail JSC | Income'!F23</f>
        <v>1.6401566433970022E-2</v>
      </c>
      <c r="G20" s="38">
        <f>'FPT Digital Retail JSC | Income'!G63/'FPT Digital Retail JSC | Income'!G23</f>
        <v>9.7664502687564228E-4</v>
      </c>
      <c r="H20" s="38">
        <f>'FPT Digital Retail JSC | Income'!H63/'FPT Digital Retail JSC | Income'!H23</f>
        <v>2.4280815601325115E-2</v>
      </c>
      <c r="I20" s="38">
        <f>'FPT Digital Retail JSC | Income'!I63/'FPT Digital Retail JSC | Income'!I23</f>
        <v>1.571209728526685E-2</v>
      </c>
      <c r="J20" s="444"/>
    </row>
    <row r="21" spans="1:10" ht="16" hidden="1" customHeight="1" thickBot="1" x14ac:dyDescent="0.25">
      <c r="A21" s="33" t="s">
        <v>515</v>
      </c>
      <c r="B21" s="34" t="s">
        <v>516</v>
      </c>
      <c r="C21" s="38">
        <v>2.4E-2</v>
      </c>
      <c r="D21" s="38">
        <v>2.8000000000000001E-2</v>
      </c>
      <c r="E21" s="38">
        <v>2.8000000000000001E-2</v>
      </c>
      <c r="F21" s="38">
        <v>1.7000000000000001E-2</v>
      </c>
      <c r="G21" s="38">
        <v>2E-3</v>
      </c>
      <c r="H21" s="38">
        <v>2.5000000000000001E-2</v>
      </c>
      <c r="I21" s="38">
        <v>1.6E-2</v>
      </c>
      <c r="J21" s="444"/>
    </row>
    <row r="22" spans="1:10" ht="16" hidden="1" customHeight="1" thickBot="1" x14ac:dyDescent="0.25">
      <c r="A22" s="33" t="s">
        <v>517</v>
      </c>
      <c r="B22" s="34" t="s">
        <v>518</v>
      </c>
      <c r="C22" s="38">
        <v>0.2</v>
      </c>
      <c r="D22" s="38">
        <v>0.20200000000000001</v>
      </c>
      <c r="E22" s="38">
        <v>0.2</v>
      </c>
      <c r="F22" s="38">
        <v>0.26700000000000002</v>
      </c>
      <c r="G22" s="38">
        <v>0.64100000000000001</v>
      </c>
      <c r="H22" s="38">
        <v>0.19900000000000001</v>
      </c>
      <c r="I22" s="38">
        <v>0.18</v>
      </c>
      <c r="J22" s="444"/>
    </row>
    <row r="23" spans="1:10" ht="16" thickBot="1" x14ac:dyDescent="0.25">
      <c r="A23" s="33" t="s">
        <v>519</v>
      </c>
      <c r="B23" s="34" t="s">
        <v>520</v>
      </c>
      <c r="C23" s="38">
        <v>1.9E-2</v>
      </c>
      <c r="D23" s="38">
        <v>2.1999999999999999E-2</v>
      </c>
      <c r="E23" s="38">
        <v>2.3E-2</v>
      </c>
      <c r="F23" s="38">
        <v>1.2E-2</v>
      </c>
      <c r="G23" s="38">
        <v>1E-3</v>
      </c>
      <c r="H23" s="38">
        <v>0.02</v>
      </c>
      <c r="I23" s="38">
        <v>1.2999999999999999E-2</v>
      </c>
      <c r="J23" s="444"/>
    </row>
    <row r="24" spans="1:10" ht="20" thickBot="1" x14ac:dyDescent="0.3">
      <c r="A24" s="47" t="s">
        <v>521</v>
      </c>
      <c r="B24" s="51"/>
      <c r="C24" s="52"/>
      <c r="D24" s="52"/>
      <c r="E24" s="52"/>
      <c r="F24" s="52"/>
      <c r="G24" s="52"/>
      <c r="H24" s="52"/>
      <c r="I24" s="52"/>
    </row>
    <row r="25" spans="1:10" ht="16" thickBot="1" x14ac:dyDescent="0.25">
      <c r="A25" s="33" t="s">
        <v>522</v>
      </c>
      <c r="B25" s="34" t="s">
        <v>523</v>
      </c>
      <c r="C25" s="36" t="s">
        <v>499</v>
      </c>
      <c r="D25" s="36">
        <v>3.06</v>
      </c>
      <c r="E25" s="36">
        <v>3.39</v>
      </c>
      <c r="F25" s="36">
        <v>2.83</v>
      </c>
      <c r="G25" s="36">
        <v>2.4500000000000002</v>
      </c>
      <c r="H25" s="36">
        <v>2.78</v>
      </c>
      <c r="I25" s="36">
        <v>2.83</v>
      </c>
    </row>
    <row r="26" spans="1:10" ht="16" thickBot="1" x14ac:dyDescent="0.25">
      <c r="A26" s="33" t="s">
        <v>524</v>
      </c>
      <c r="B26" s="34" t="s">
        <v>516</v>
      </c>
      <c r="C26" s="38">
        <v>2.4E-2</v>
      </c>
      <c r="D26" s="38">
        <v>2.8000000000000001E-2</v>
      </c>
      <c r="E26" s="38">
        <v>2.8000000000000001E-2</v>
      </c>
      <c r="F26" s="38">
        <v>1.7000000000000001E-2</v>
      </c>
      <c r="G26" s="38">
        <v>2E-3</v>
      </c>
      <c r="H26" s="38">
        <v>2.5000000000000001E-2</v>
      </c>
      <c r="I26" s="38" t="s">
        <v>699</v>
      </c>
    </row>
    <row r="27" spans="1:10" ht="16" thickBot="1" x14ac:dyDescent="0.25">
      <c r="A27" s="33" t="s">
        <v>525</v>
      </c>
      <c r="B27" s="34" t="s">
        <v>526</v>
      </c>
      <c r="C27" s="38" t="s">
        <v>499</v>
      </c>
      <c r="D27" s="38">
        <v>8.5000000000000006E-2</v>
      </c>
      <c r="E27" s="38">
        <v>9.6000000000000002E-2</v>
      </c>
      <c r="F27" s="38">
        <v>4.7E-2</v>
      </c>
      <c r="G27" s="38">
        <v>5.0000000000000001E-3</v>
      </c>
      <c r="H27" s="38">
        <v>6.9000000000000006E-2</v>
      </c>
      <c r="I27" s="38">
        <v>4.5999999999999999E-2</v>
      </c>
    </row>
    <row r="28" spans="1:10" ht="16" thickBot="1" x14ac:dyDescent="0.25">
      <c r="A28" s="33" t="s">
        <v>527</v>
      </c>
      <c r="B28" s="34" t="s">
        <v>528</v>
      </c>
      <c r="C28" s="36">
        <v>9.14</v>
      </c>
      <c r="D28" s="36">
        <v>4.8600000000000003</v>
      </c>
      <c r="E28" s="36">
        <v>4.5599999999999996</v>
      </c>
      <c r="F28" s="36">
        <v>5.18</v>
      </c>
      <c r="G28" s="36">
        <v>4.4400000000000004</v>
      </c>
      <c r="H28" s="36">
        <v>6.49</v>
      </c>
      <c r="I28" s="36">
        <v>5.24</v>
      </c>
    </row>
    <row r="29" spans="1:10" ht="16" thickBot="1" x14ac:dyDescent="0.25">
      <c r="A29" s="33" t="s">
        <v>529</v>
      </c>
      <c r="B29" s="34" t="s">
        <v>530</v>
      </c>
      <c r="C29" s="38" t="s">
        <v>499</v>
      </c>
      <c r="D29" s="38">
        <v>0.55400000000000005</v>
      </c>
      <c r="E29" s="38">
        <v>0.45</v>
      </c>
      <c r="F29" s="38">
        <v>0.23100000000000001</v>
      </c>
      <c r="G29" s="38">
        <v>2.3E-2</v>
      </c>
      <c r="H29" s="38">
        <v>0.38500000000000001</v>
      </c>
      <c r="I29" s="38">
        <v>0.26500000000000001</v>
      </c>
    </row>
    <row r="30" spans="1:10" ht="16" thickBot="1" x14ac:dyDescent="0.25">
      <c r="A30" s="33" t="s">
        <v>531</v>
      </c>
      <c r="B30" s="34" t="s">
        <v>532</v>
      </c>
      <c r="C30" s="36">
        <v>0.8</v>
      </c>
      <c r="D30" s="36">
        <v>0.8</v>
      </c>
      <c r="E30" s="36">
        <v>0.8</v>
      </c>
      <c r="F30" s="36">
        <v>0.77</v>
      </c>
      <c r="G30" s="36">
        <v>0.87</v>
      </c>
      <c r="H30" s="36">
        <v>0.8</v>
      </c>
      <c r="I30" s="36">
        <v>0.8</v>
      </c>
    </row>
    <row r="31" spans="1:10" ht="16" thickBot="1" x14ac:dyDescent="0.25">
      <c r="A31" s="33" t="s">
        <v>533</v>
      </c>
      <c r="B31" s="34" t="s">
        <v>534</v>
      </c>
      <c r="C31" s="38" t="s">
        <v>499</v>
      </c>
      <c r="D31" s="38">
        <v>0.442</v>
      </c>
      <c r="E31" s="38">
        <v>0.36</v>
      </c>
      <c r="F31" s="38">
        <v>0.17699999999999999</v>
      </c>
      <c r="G31" s="38">
        <v>0.02</v>
      </c>
      <c r="H31" s="38">
        <v>0.309</v>
      </c>
      <c r="I31" s="38">
        <v>0.21299999999999999</v>
      </c>
      <c r="J31" t="s">
        <v>692</v>
      </c>
    </row>
    <row r="32" spans="1:10" ht="16" thickBot="1" x14ac:dyDescent="0.25">
      <c r="A32" s="33" t="s">
        <v>535</v>
      </c>
      <c r="B32" s="149">
        <v>0.55000000000000004</v>
      </c>
      <c r="C32" s="36">
        <v>1</v>
      </c>
      <c r="D32" s="36">
        <v>1</v>
      </c>
      <c r="E32" s="36">
        <v>0.81</v>
      </c>
      <c r="F32" s="36">
        <v>0.64</v>
      </c>
      <c r="G32" s="36">
        <v>-2.76</v>
      </c>
      <c r="H32" s="36">
        <v>0.82</v>
      </c>
      <c r="I32" s="36">
        <v>0.86</v>
      </c>
    </row>
    <row r="33" spans="1:16" ht="16" thickBot="1" x14ac:dyDescent="0.25">
      <c r="A33" s="33" t="s">
        <v>536</v>
      </c>
      <c r="B33" s="34" t="s">
        <v>537</v>
      </c>
      <c r="C33" s="38" t="s">
        <v>499</v>
      </c>
      <c r="D33" s="38">
        <v>0.42899999999999999</v>
      </c>
      <c r="E33" s="38">
        <v>0.28299999999999997</v>
      </c>
      <c r="F33" s="38">
        <v>0.109</v>
      </c>
      <c r="G33" s="38">
        <v>-4.7E-2</v>
      </c>
      <c r="H33" s="38">
        <v>0.254</v>
      </c>
      <c r="I33" s="38">
        <v>0.182</v>
      </c>
      <c r="J33" t="s">
        <v>691</v>
      </c>
    </row>
    <row r="34" spans="1:16" ht="20" thickBot="1" x14ac:dyDescent="0.3">
      <c r="A34" s="47" t="s">
        <v>538</v>
      </c>
      <c r="B34" s="51"/>
      <c r="C34" s="52"/>
      <c r="D34" s="52"/>
      <c r="E34" s="52"/>
      <c r="F34" s="52"/>
      <c r="G34" s="52"/>
      <c r="H34" s="52"/>
      <c r="I34" s="52"/>
    </row>
    <row r="35" spans="1:16" ht="16" thickBot="1" x14ac:dyDescent="0.25">
      <c r="A35" s="33" t="s">
        <v>539</v>
      </c>
      <c r="B35" s="34" t="s">
        <v>540</v>
      </c>
      <c r="C35" s="36">
        <v>0.59</v>
      </c>
      <c r="D35" s="36">
        <v>0.57999999999999996</v>
      </c>
      <c r="E35" s="36">
        <v>0.57999999999999996</v>
      </c>
      <c r="F35" s="36">
        <v>0.53</v>
      </c>
      <c r="G35" s="36">
        <v>0.75</v>
      </c>
      <c r="H35" s="36">
        <v>0.57999999999999996</v>
      </c>
      <c r="I35" s="36">
        <v>0.34</v>
      </c>
      <c r="J35" t="s">
        <v>693</v>
      </c>
    </row>
    <row r="36" spans="1:16" ht="16" thickBot="1" x14ac:dyDescent="0.25">
      <c r="A36" s="33" t="s">
        <v>541</v>
      </c>
      <c r="B36" s="34" t="s">
        <v>542</v>
      </c>
      <c r="C36" s="36">
        <v>1.05</v>
      </c>
      <c r="D36" s="36">
        <v>1.1399999999999999</v>
      </c>
      <c r="E36" s="36">
        <v>1.2</v>
      </c>
      <c r="F36" s="36">
        <v>1.1599999999999999</v>
      </c>
      <c r="G36" s="36">
        <v>1.19</v>
      </c>
      <c r="H36" s="36">
        <v>1.1200000000000001</v>
      </c>
      <c r="I36" s="36">
        <v>1.1000000000000001</v>
      </c>
    </row>
    <row r="37" spans="1:16" ht="16" thickBot="1" x14ac:dyDescent="0.25">
      <c r="A37" s="33" t="s">
        <v>543</v>
      </c>
      <c r="B37" s="34" t="s">
        <v>544</v>
      </c>
      <c r="C37" s="39">
        <v>3.3</v>
      </c>
      <c r="D37" s="39">
        <v>4.8</v>
      </c>
      <c r="E37" s="39">
        <v>5</v>
      </c>
      <c r="F37" s="39">
        <v>2.6</v>
      </c>
      <c r="G37" s="39">
        <v>0.8</v>
      </c>
      <c r="H37" s="39">
        <v>3.9</v>
      </c>
      <c r="I37" s="39">
        <v>2.5</v>
      </c>
    </row>
    <row r="38" spans="1:16" ht="16" thickBot="1" x14ac:dyDescent="0.25">
      <c r="A38" s="33" t="s">
        <v>545</v>
      </c>
      <c r="B38" s="34" t="s">
        <v>546</v>
      </c>
      <c r="C38" s="39" t="s">
        <v>499</v>
      </c>
      <c r="D38" s="39">
        <v>38.200000000000003</v>
      </c>
      <c r="E38" s="39">
        <v>53.6</v>
      </c>
      <c r="F38" s="39">
        <v>74.7</v>
      </c>
      <c r="G38" s="39">
        <v>72.2</v>
      </c>
      <c r="H38" s="39">
        <v>58.5</v>
      </c>
      <c r="I38" s="39">
        <v>64.900000000000006</v>
      </c>
    </row>
    <row r="39" spans="1:16" ht="20" thickBot="1" x14ac:dyDescent="0.3">
      <c r="A39" s="50" t="s">
        <v>547</v>
      </c>
      <c r="B39" s="48"/>
      <c r="C39" s="49"/>
      <c r="D39" s="49"/>
      <c r="E39" s="49"/>
      <c r="F39" s="49"/>
      <c r="G39" s="49"/>
      <c r="H39" s="49"/>
      <c r="I39" s="49"/>
    </row>
    <row r="40" spans="1:16" s="55" customFormat="1" ht="16" thickBot="1" x14ac:dyDescent="0.25">
      <c r="A40" s="53" t="s">
        <v>548</v>
      </c>
      <c r="B40" s="54" t="s">
        <v>528</v>
      </c>
      <c r="C40" s="61">
        <v>9.14</v>
      </c>
      <c r="D40" s="61">
        <v>4.8600000000000003</v>
      </c>
      <c r="E40" s="61">
        <f>'FPT Digital Retail JSC | BS'!D71/'FPT Digital Retail JSC | BS'!D111</f>
        <v>4.5578995275109966</v>
      </c>
      <c r="F40" s="61">
        <f>'FPT Digital Retail JSC | BS'!E71/'FPT Digital Retail JSC | BS'!E111</f>
        <v>5.1767593658290716</v>
      </c>
      <c r="G40" s="61">
        <f>'FPT Digital Retail JSC | BS'!F71/'FPT Digital Retail JSC | BS'!F111</f>
        <v>4.4388750014418408</v>
      </c>
      <c r="H40" s="61">
        <f>'FPT Digital Retail JSC | BS'!G71/'FPT Digital Retail JSC | BS'!G111</f>
        <v>6.4890007748729399</v>
      </c>
      <c r="I40" s="61">
        <f>'FPT Digital Retail JSC | BS'!H71/'FPT Digital Retail JSC | BS'!H111</f>
        <v>5.2403319140079008</v>
      </c>
      <c r="J40" s="55" t="s">
        <v>694</v>
      </c>
      <c r="M40" s="150"/>
    </row>
    <row r="41" spans="1:16" ht="16" thickBot="1" x14ac:dyDescent="0.25">
      <c r="A41" s="33" t="s">
        <v>549</v>
      </c>
      <c r="B41" s="34" t="s">
        <v>550</v>
      </c>
      <c r="C41" s="36">
        <v>4.7300000000000004</v>
      </c>
      <c r="D41" s="36">
        <v>1.47</v>
      </c>
      <c r="E41" s="36">
        <f>'FPT Digital Retail JSC | BS'!D91/'FPT Digital Retail JSC | BS'!D111</f>
        <v>2.5995027267122546</v>
      </c>
      <c r="F41" s="36">
        <f>'FPT Digital Retail JSC | BS'!E91/'FPT Digital Retail JSC | BS'!E111</f>
        <v>2.9033214364784889</v>
      </c>
      <c r="G41" s="36">
        <f>'FPT Digital Retail JSC | BS'!F91/'FPT Digital Retail JSC | BS'!F111</f>
        <v>2.0481953917111442</v>
      </c>
      <c r="H41" s="36">
        <f>'FPT Digital Retail JSC | BS'!G91/'FPT Digital Retail JSC | BS'!G111</f>
        <v>3.6381764496380717</v>
      </c>
      <c r="I41" s="36">
        <f>'FPT Digital Retail JSC | BS'!H91/'FPT Digital Retail JSC | BS'!H111</f>
        <v>2.6706743397547394</v>
      </c>
      <c r="J41" t="s">
        <v>695</v>
      </c>
      <c r="K41" s="69">
        <f>AVERAGE(E41:I41)</f>
        <v>2.7719740688589396</v>
      </c>
      <c r="L41" s="173"/>
      <c r="M41" s="173"/>
      <c r="N41" s="173"/>
      <c r="O41" s="173"/>
      <c r="P41" s="173"/>
    </row>
    <row r="42" spans="1:16" ht="16" thickBot="1" x14ac:dyDescent="0.25">
      <c r="A42" s="33" t="s">
        <v>551</v>
      </c>
      <c r="B42" s="34" t="s">
        <v>512</v>
      </c>
      <c r="C42" s="38">
        <v>0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</row>
    <row r="43" spans="1:16" ht="16" thickBot="1" x14ac:dyDescent="0.25">
      <c r="A43" s="33" t="s">
        <v>552</v>
      </c>
      <c r="B43" s="34" t="s">
        <v>553</v>
      </c>
      <c r="C43" s="36" t="s">
        <v>499</v>
      </c>
      <c r="D43" s="36">
        <v>1.98</v>
      </c>
      <c r="E43" s="36">
        <v>2.63</v>
      </c>
      <c r="F43" s="36">
        <v>6.06</v>
      </c>
      <c r="G43" s="36">
        <v>18.14</v>
      </c>
      <c r="H43" s="36">
        <v>4</v>
      </c>
      <c r="I43" s="36">
        <v>4.79</v>
      </c>
    </row>
    <row r="44" spans="1:16" ht="20" thickBot="1" x14ac:dyDescent="0.3">
      <c r="A44" s="47" t="s">
        <v>554</v>
      </c>
      <c r="B44" s="51"/>
      <c r="C44" s="52"/>
      <c r="D44" s="52"/>
      <c r="E44" s="52"/>
      <c r="F44" s="52"/>
      <c r="G44" s="52"/>
      <c r="H44" s="52"/>
      <c r="I44" s="52"/>
    </row>
    <row r="45" spans="1:16" ht="16" thickBot="1" x14ac:dyDescent="0.25">
      <c r="A45" s="33" t="s">
        <v>555</v>
      </c>
      <c r="B45" s="34" t="s">
        <v>556</v>
      </c>
      <c r="C45" s="39" t="s">
        <v>499</v>
      </c>
      <c r="D45" s="39">
        <v>14</v>
      </c>
      <c r="E45" s="39">
        <v>14.3</v>
      </c>
      <c r="F45" s="39">
        <v>14.3</v>
      </c>
      <c r="G45" s="39">
        <v>11.1</v>
      </c>
      <c r="H45" s="39">
        <v>13</v>
      </c>
      <c r="I45" s="39">
        <v>22.5</v>
      </c>
    </row>
    <row r="46" spans="1:16" ht="16" thickBot="1" x14ac:dyDescent="0.25">
      <c r="A46" s="33" t="s">
        <v>557</v>
      </c>
      <c r="B46" s="34" t="s">
        <v>558</v>
      </c>
      <c r="C46" s="39" t="s">
        <v>499</v>
      </c>
      <c r="D46" s="39">
        <v>26.2</v>
      </c>
      <c r="E46" s="39">
        <v>25.7</v>
      </c>
      <c r="F46" s="39">
        <v>25.6</v>
      </c>
      <c r="G46" s="39">
        <v>33</v>
      </c>
      <c r="H46" s="39">
        <v>28.2</v>
      </c>
      <c r="I46" s="39">
        <v>16.3</v>
      </c>
    </row>
    <row r="47" spans="1:16" ht="16" thickBot="1" x14ac:dyDescent="0.25">
      <c r="A47" s="33"/>
      <c r="B47" s="34"/>
      <c r="C47" s="39"/>
      <c r="D47" s="39"/>
      <c r="E47" s="39"/>
      <c r="F47" s="39">
        <f>F46-E46</f>
        <v>-9.9999999999997868E-2</v>
      </c>
      <c r="G47" s="39">
        <f t="shared" ref="G47:I47" si="0">G46-F46</f>
        <v>7.3999999999999986</v>
      </c>
      <c r="H47" s="39">
        <f t="shared" si="0"/>
        <v>-4.8000000000000007</v>
      </c>
      <c r="I47" s="39">
        <f t="shared" si="0"/>
        <v>-11.899999999999999</v>
      </c>
    </row>
    <row r="48" spans="1:16" ht="16" thickBot="1" x14ac:dyDescent="0.25">
      <c r="A48" s="33" t="s">
        <v>559</v>
      </c>
      <c r="B48" s="34" t="s">
        <v>560</v>
      </c>
      <c r="C48" s="39" t="s">
        <v>499</v>
      </c>
      <c r="D48" s="39">
        <v>6.2</v>
      </c>
      <c r="E48" s="39">
        <v>6.3</v>
      </c>
      <c r="F48" s="39">
        <v>4.9000000000000004</v>
      </c>
      <c r="G48" s="39">
        <v>4.8</v>
      </c>
      <c r="H48" s="39">
        <v>5.7</v>
      </c>
      <c r="I48" s="39">
        <v>4.5</v>
      </c>
    </row>
    <row r="49" spans="1:10" ht="16" thickBot="1" x14ac:dyDescent="0.25">
      <c r="A49" s="33" t="s">
        <v>561</v>
      </c>
      <c r="B49" s="34" t="s">
        <v>562</v>
      </c>
      <c r="C49" s="39" t="s">
        <v>499</v>
      </c>
      <c r="D49" s="39">
        <v>59.3</v>
      </c>
      <c r="E49" s="39">
        <v>58.4</v>
      </c>
      <c r="F49" s="39">
        <v>74.2</v>
      </c>
      <c r="G49" s="39">
        <v>75.599999999999994</v>
      </c>
      <c r="H49" s="39">
        <v>63.9</v>
      </c>
      <c r="I49" s="39">
        <v>82</v>
      </c>
    </row>
    <row r="50" spans="1:10" ht="16" thickBot="1" x14ac:dyDescent="0.25">
      <c r="A50" s="33" t="s">
        <v>563</v>
      </c>
      <c r="B50" s="34" t="s">
        <v>564</v>
      </c>
      <c r="C50" s="39" t="s">
        <v>499</v>
      </c>
      <c r="D50" s="39">
        <v>47.3</v>
      </c>
      <c r="E50" s="39">
        <v>30.4</v>
      </c>
      <c r="F50" s="39">
        <v>25.1</v>
      </c>
      <c r="G50" s="39">
        <v>36.299999999999997</v>
      </c>
      <c r="H50" s="39">
        <v>33.6</v>
      </c>
      <c r="I50" s="39">
        <v>33.4</v>
      </c>
    </row>
    <row r="51" spans="1:10" ht="16" thickBot="1" x14ac:dyDescent="0.25">
      <c r="A51" s="33" t="s">
        <v>565</v>
      </c>
      <c r="B51" s="34" t="s">
        <v>566</v>
      </c>
      <c r="C51" s="36" t="s">
        <v>499</v>
      </c>
      <c r="D51" s="36">
        <v>4346.55</v>
      </c>
      <c r="E51" s="36">
        <v>2875.09</v>
      </c>
      <c r="F51" s="36">
        <v>2826.83</v>
      </c>
      <c r="G51" s="36">
        <v>1913.67</v>
      </c>
      <c r="H51" s="36">
        <v>1789.13</v>
      </c>
      <c r="I51" s="36">
        <v>87.01</v>
      </c>
    </row>
    <row r="52" spans="1:10" ht="16" thickBot="1" x14ac:dyDescent="0.25">
      <c r="A52" s="33" t="s">
        <v>567</v>
      </c>
      <c r="B52" s="40" t="s">
        <v>568</v>
      </c>
      <c r="C52" s="38" t="s">
        <v>499</v>
      </c>
      <c r="D52" s="38" t="s">
        <v>499</v>
      </c>
      <c r="E52" s="38">
        <v>1.6E-2</v>
      </c>
      <c r="F52" s="38">
        <v>0.01</v>
      </c>
      <c r="G52" s="38">
        <v>6.0000000000000001E-3</v>
      </c>
      <c r="H52" s="38">
        <v>-1.4E-2</v>
      </c>
      <c r="I52" s="38">
        <v>-0.01</v>
      </c>
    </row>
    <row r="53" spans="1:10" ht="16" thickBot="1" x14ac:dyDescent="0.25">
      <c r="A53" s="33" t="s">
        <v>569</v>
      </c>
      <c r="B53" s="34" t="s">
        <v>570</v>
      </c>
      <c r="C53" s="38">
        <v>5.0000000000000001E-3</v>
      </c>
      <c r="D53" s="38">
        <v>1.0999999999999999E-2</v>
      </c>
      <c r="E53" s="38">
        <v>1.6E-2</v>
      </c>
      <c r="F53" s="38">
        <v>2.8000000000000001E-2</v>
      </c>
      <c r="G53" s="38">
        <v>4.1000000000000002E-2</v>
      </c>
      <c r="H53" s="38">
        <v>4.0000000000000001E-3</v>
      </c>
      <c r="I53" s="38">
        <v>1.0999999999999999E-2</v>
      </c>
      <c r="J53" t="s">
        <v>697</v>
      </c>
    </row>
    <row r="54" spans="1:10" ht="16" thickBot="1" x14ac:dyDescent="0.25">
      <c r="A54" s="33" t="s">
        <v>571</v>
      </c>
      <c r="B54" s="34" t="s">
        <v>498</v>
      </c>
      <c r="C54" s="38" t="s">
        <v>499</v>
      </c>
      <c r="D54" s="38">
        <v>0.442</v>
      </c>
      <c r="E54" s="38">
        <v>0.36</v>
      </c>
      <c r="F54" s="38">
        <v>0.16900000000000001</v>
      </c>
      <c r="G54" s="38">
        <v>8.0000000000000002E-3</v>
      </c>
      <c r="H54" s="38">
        <v>0.309</v>
      </c>
      <c r="I54" s="38">
        <v>0.217</v>
      </c>
    </row>
    <row r="55" spans="1:10" x14ac:dyDescent="0.2">
      <c r="A55" s="33" t="s">
        <v>572</v>
      </c>
      <c r="B55" s="34" t="s">
        <v>498</v>
      </c>
      <c r="C55" s="39" t="s">
        <v>499</v>
      </c>
      <c r="D55" s="39" t="s">
        <v>573</v>
      </c>
      <c r="E55" s="39" t="s">
        <v>574</v>
      </c>
      <c r="F55" s="39" t="s">
        <v>575</v>
      </c>
      <c r="G55" s="39" t="s">
        <v>576</v>
      </c>
      <c r="H55" s="39" t="s">
        <v>577</v>
      </c>
      <c r="I55" s="39" t="s">
        <v>578</v>
      </c>
    </row>
    <row r="57" spans="1:10" x14ac:dyDescent="0.2">
      <c r="A57" s="179" t="s">
        <v>742</v>
      </c>
      <c r="E57" s="173">
        <f>'FPT Digital Retail JSC | Income'!E28/'FPT Digital Retail JSC | BS'!D74</f>
        <v>18.777270460637038</v>
      </c>
      <c r="F57" s="173">
        <f>'FPT Digital Retail JSC | Income'!F28/'FPT Digital Retail JSC | BS'!E74</f>
        <v>11.279731919143906</v>
      </c>
      <c r="G57" s="173">
        <f>'FPT Digital Retail JSC | Income'!G28/'FPT Digital Retail JSC | BS'!F74</f>
        <v>10.388968463685082</v>
      </c>
      <c r="H57" s="173">
        <f>'FPT Digital Retail JSC | Income'!H28/'FPT Digital Retail JSC | BS'!G74</f>
        <v>8.2814967228843237</v>
      </c>
      <c r="I57" s="173">
        <f>'FPT Digital Retail JSC | Income'!I28/'FPT Digital Retail JSC | BS'!H74</f>
        <v>11.035411527306579</v>
      </c>
    </row>
  </sheetData>
  <mergeCells count="1">
    <mergeCell ref="J18:J2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A09F-5EA3-DF48-AF87-44B9C6A4CF88}">
  <sheetPr codeName="Sheet7">
    <tabColor theme="8" tint="-0.249977111117893"/>
  </sheetPr>
  <dimension ref="A1:T35"/>
  <sheetViews>
    <sheetView zoomScaleNormal="100" workbookViewId="0">
      <selection activeCell="B6" sqref="B6"/>
    </sheetView>
  </sheetViews>
  <sheetFormatPr baseColWidth="10" defaultRowHeight="15" x14ac:dyDescent="0.2"/>
  <cols>
    <col min="1" max="1" width="63.33203125" style="193" customWidth="1"/>
    <col min="2" max="2" width="13.6640625" style="193" bestFit="1" customWidth="1"/>
    <col min="3" max="3" width="15.6640625" style="193" customWidth="1"/>
    <col min="4" max="5" width="13.5" style="193" customWidth="1"/>
    <col min="6" max="6" width="14.83203125" style="193" customWidth="1"/>
    <col min="7" max="7" width="15.83203125" style="193" customWidth="1"/>
    <col min="8" max="8" width="16" style="193" customWidth="1"/>
    <col min="9" max="12" width="10.83203125" style="193"/>
    <col min="13" max="13" width="13.33203125" style="193" bestFit="1" customWidth="1"/>
    <col min="14" max="14" width="12.6640625" style="193" bestFit="1" customWidth="1"/>
    <col min="15" max="18" width="13.6640625" style="193" bestFit="1" customWidth="1"/>
    <col min="19" max="16384" width="10.83203125" style="193"/>
  </cols>
  <sheetData>
    <row r="1" spans="1:20" x14ac:dyDescent="0.2">
      <c r="A1" s="345" t="s">
        <v>585</v>
      </c>
      <c r="B1" s="346">
        <v>2023</v>
      </c>
      <c r="C1" s="346">
        <v>2024</v>
      </c>
      <c r="D1" s="346">
        <v>2025</v>
      </c>
      <c r="E1" s="346">
        <v>2026</v>
      </c>
      <c r="F1" s="346">
        <v>2027</v>
      </c>
      <c r="G1" s="346">
        <v>2028</v>
      </c>
    </row>
    <row r="2" spans="1:20" x14ac:dyDescent="0.2">
      <c r="A2" s="194" t="s">
        <v>591</v>
      </c>
      <c r="B2" s="195"/>
      <c r="C2" s="195"/>
      <c r="D2" s="195"/>
      <c r="E2" s="195"/>
      <c r="F2" s="195"/>
      <c r="G2" s="195"/>
    </row>
    <row r="3" spans="1:20" x14ac:dyDescent="0.2">
      <c r="A3" s="196" t="s">
        <v>351</v>
      </c>
      <c r="B3" s="197">
        <f>'FPT Digital Retail JSC | Income'!J89</f>
        <v>536537.70588874537</v>
      </c>
      <c r="C3" s="197">
        <f>'FPT Digital Retail JSC | Income'!K89</f>
        <v>541060.85031526524</v>
      </c>
      <c r="D3" s="197">
        <f>'FPT Digital Retail JSC | Income'!L89</f>
        <v>589088.44823592866</v>
      </c>
      <c r="E3" s="197">
        <f>'FPT Digital Retail JSC | Income'!M89</f>
        <v>762226.13947295723</v>
      </c>
      <c r="F3" s="197">
        <f>'FPT Digital Retail JSC | Income'!N89</f>
        <v>758963.00062601478</v>
      </c>
      <c r="G3" s="197">
        <f>'FPT Digital Retail JSC | Income'!O89</f>
        <v>860684.70420879533</v>
      </c>
    </row>
    <row r="4" spans="1:20" x14ac:dyDescent="0.2">
      <c r="A4" s="196" t="s">
        <v>586</v>
      </c>
      <c r="B4" s="197">
        <f>'Revenue breakdown'!G25*'Revenue breakdown'!G3</f>
        <v>146694.58462960491</v>
      </c>
      <c r="C4" s="197">
        <f>'Revenue breakdown'!H25*'Revenue breakdown'!H3</f>
        <v>157505.52231217676</v>
      </c>
      <c r="D4" s="197">
        <f>'Revenue breakdown'!I25*'Revenue breakdown'!I3</f>
        <v>169848.53754713706</v>
      </c>
      <c r="E4" s="197">
        <f>'Revenue breakdown'!J25*'Revenue breakdown'!J3</f>
        <v>184053.61562554899</v>
      </c>
      <c r="F4" s="197">
        <f>'Revenue breakdown'!K25*'Revenue breakdown'!K3</f>
        <v>196502.37107218074</v>
      </c>
      <c r="G4" s="197">
        <f>'Revenue breakdown'!L25*'Revenue breakdown'!L3</f>
        <v>213425.79669119479</v>
      </c>
    </row>
    <row r="5" spans="1:20" x14ac:dyDescent="0.2">
      <c r="A5" s="196" t="s">
        <v>587</v>
      </c>
      <c r="B5" s="197">
        <f>'FPT Digital Retail JSC | Cash F'!J47</f>
        <v>-359049.10207620118</v>
      </c>
      <c r="C5" s="197">
        <f>'FPT Digital Retail JSC | Cash F'!K47</f>
        <v>-50511.967790634051</v>
      </c>
      <c r="D5" s="197">
        <f>'FPT Digital Retail JSC | Cash F'!L47</f>
        <v>-58165.236570548746</v>
      </c>
      <c r="E5" s="197">
        <f>'FPT Digital Retail JSC | Cash F'!M47</f>
        <v>-77160.29286590188</v>
      </c>
      <c r="F5" s="197">
        <f>'FPT Digital Retail JSC | Cash F'!N47</f>
        <v>-68362.674619058584</v>
      </c>
      <c r="G5" s="197">
        <f>'FPT Digital Retail JSC | Cash F'!O47</f>
        <v>-115444.171077187</v>
      </c>
      <c r="H5" s="193" t="s">
        <v>696</v>
      </c>
    </row>
    <row r="6" spans="1:20" x14ac:dyDescent="0.2">
      <c r="A6" s="196" t="s">
        <v>588</v>
      </c>
      <c r="B6" s="198">
        <f>-'FPT Digital Retail JSC | BS'!I99</f>
        <v>-1132080.0759553388</v>
      </c>
      <c r="C6" s="198">
        <f>-'FPT Digital Retail JSC | BS'!J99</f>
        <v>-296657.37890453357</v>
      </c>
      <c r="D6" s="198">
        <f>-'FPT Digital Retail JSC | BS'!K99</f>
        <v>-107440.52137592062</v>
      </c>
      <c r="E6" s="198">
        <f>-'FPT Digital Retail JSC | BS'!L99</f>
        <v>143856.0525890179</v>
      </c>
      <c r="F6" s="198">
        <f>-'FPT Digital Retail JSC | BS'!M99</f>
        <v>54376.466214113869</v>
      </c>
      <c r="G6" s="198">
        <f>-'FPT Digital Retail JSC | BS'!N99</f>
        <v>-287933.35143928789</v>
      </c>
    </row>
    <row r="7" spans="1:20" x14ac:dyDescent="0.2">
      <c r="A7" s="196" t="s">
        <v>589</v>
      </c>
      <c r="B7" s="199">
        <f>'FPT Digital Retail JSC | Cash F'!J73</f>
        <v>3722309.2851993577</v>
      </c>
      <c r="C7" s="199">
        <f>'FPT Digital Retail JSC | Cash F'!K73</f>
        <v>1105503.667290739</v>
      </c>
      <c r="D7" s="199">
        <f>'FPT Digital Retail JSC | Cash F'!L73</f>
        <v>1284334.5585914324</v>
      </c>
      <c r="E7" s="199">
        <f>'FPT Digital Retail JSC | Cash F'!M73</f>
        <v>1375490.684170882</v>
      </c>
      <c r="F7" s="199">
        <f>'FPT Digital Retail JSC | Cash F'!N73</f>
        <v>1072732.8380784779</v>
      </c>
      <c r="G7" s="199">
        <f>'FPT Digital Retail JSC | Cash F'!O73</f>
        <v>1366544.6086779754</v>
      </c>
    </row>
    <row r="8" spans="1:20" x14ac:dyDescent="0.2">
      <c r="A8" s="196" t="s">
        <v>605</v>
      </c>
      <c r="B8" s="197">
        <f>SUM(B3:B7)</f>
        <v>2914412.3976861681</v>
      </c>
      <c r="C8" s="197">
        <f t="shared" ref="C8:G8" si="0">SUM(C3:C7)</f>
        <v>1456900.6932230135</v>
      </c>
      <c r="D8" s="197">
        <f t="shared" si="0"/>
        <v>1877665.7864280287</v>
      </c>
      <c r="E8" s="197">
        <f t="shared" si="0"/>
        <v>2388466.1989925043</v>
      </c>
      <c r="F8" s="197">
        <f t="shared" si="0"/>
        <v>2014212.0013717287</v>
      </c>
      <c r="G8" s="197">
        <f t="shared" si="0"/>
        <v>2037277.5870614906</v>
      </c>
    </row>
    <row r="9" spans="1:20" ht="22" customHeight="1" x14ac:dyDescent="0.2">
      <c r="A9" s="196"/>
      <c r="B9" s="200"/>
      <c r="C9" s="200"/>
      <c r="D9" s="200"/>
      <c r="E9" s="200"/>
      <c r="F9" s="200"/>
      <c r="G9" s="200"/>
      <c r="L9" s="448" t="s">
        <v>756</v>
      </c>
      <c r="M9" s="448"/>
      <c r="N9" s="448" t="s">
        <v>757</v>
      </c>
      <c r="O9" s="448"/>
      <c r="P9" s="448"/>
      <c r="Q9" s="448"/>
      <c r="R9" s="448"/>
    </row>
    <row r="10" spans="1:20" ht="26" customHeight="1" x14ac:dyDescent="0.2">
      <c r="A10" s="201"/>
      <c r="B10" s="202"/>
      <c r="C10" s="202"/>
      <c r="D10" s="202"/>
      <c r="E10" s="202"/>
      <c r="F10" s="202"/>
      <c r="G10" s="202"/>
      <c r="L10" s="448"/>
      <c r="M10" s="448"/>
      <c r="N10" s="190">
        <v>5.7500000000000002E-2</v>
      </c>
      <c r="O10" s="190">
        <v>6.25E-2</v>
      </c>
      <c r="P10" s="190">
        <v>6.7500000000000004E-2</v>
      </c>
      <c r="Q10" s="190">
        <v>7.2499999999999995E-2</v>
      </c>
      <c r="R10" s="190">
        <v>7.7499999999999999E-2</v>
      </c>
    </row>
    <row r="11" spans="1:20" ht="26" customHeight="1" x14ac:dyDescent="0.2">
      <c r="A11" s="347" t="s">
        <v>590</v>
      </c>
      <c r="B11" s="347"/>
      <c r="C11" s="348">
        <v>1</v>
      </c>
      <c r="D11" s="348">
        <v>2</v>
      </c>
      <c r="E11" s="348">
        <v>3</v>
      </c>
      <c r="F11" s="348">
        <v>4</v>
      </c>
      <c r="G11" s="348">
        <v>5</v>
      </c>
      <c r="H11" s="348"/>
      <c r="L11" s="448" t="s">
        <v>758</v>
      </c>
      <c r="M11" s="191">
        <v>0.18490000000000001</v>
      </c>
      <c r="N11" s="205">
        <v>99432</v>
      </c>
      <c r="O11" s="205">
        <v>101485</v>
      </c>
      <c r="P11" s="192">
        <v>103713</v>
      </c>
      <c r="Q11" s="205">
        <v>106139</v>
      </c>
      <c r="R11" s="205">
        <v>108790</v>
      </c>
    </row>
    <row r="12" spans="1:20" ht="26" customHeight="1" x14ac:dyDescent="0.2">
      <c r="A12" s="203"/>
      <c r="B12" s="203" t="s">
        <v>585</v>
      </c>
      <c r="C12" s="203">
        <v>2023</v>
      </c>
      <c r="D12" s="203">
        <v>2024</v>
      </c>
      <c r="E12" s="203">
        <v>2025</v>
      </c>
      <c r="F12" s="203">
        <v>2026</v>
      </c>
      <c r="G12" s="203">
        <v>2027</v>
      </c>
      <c r="H12" s="203">
        <v>2028</v>
      </c>
      <c r="L12" s="448"/>
      <c r="M12" s="191">
        <v>0.19489999999999999</v>
      </c>
      <c r="N12" s="205">
        <v>92818</v>
      </c>
      <c r="O12" s="205">
        <v>94506</v>
      </c>
      <c r="P12" s="192">
        <v>96325</v>
      </c>
      <c r="Q12" s="205">
        <v>98294</v>
      </c>
      <c r="R12" s="205">
        <v>100430</v>
      </c>
      <c r="S12" s="256">
        <f>R11/P13-1</f>
        <v>0.20903301808159491</v>
      </c>
    </row>
    <row r="13" spans="1:20" ht="26" customHeight="1" x14ac:dyDescent="0.2">
      <c r="A13" s="206" t="s">
        <v>638</v>
      </c>
      <c r="B13" s="203" t="s">
        <v>639</v>
      </c>
      <c r="C13" s="207">
        <f>20.49%</f>
        <v>0.20489999999999997</v>
      </c>
      <c r="D13" s="207">
        <f t="shared" ref="D13:G13" si="1">20.49%</f>
        <v>0.20489999999999997</v>
      </c>
      <c r="E13" s="207">
        <f t="shared" si="1"/>
        <v>0.20489999999999997</v>
      </c>
      <c r="F13" s="207">
        <f t="shared" si="1"/>
        <v>0.20489999999999997</v>
      </c>
      <c r="G13" s="207">
        <f t="shared" si="1"/>
        <v>0.20489999999999997</v>
      </c>
      <c r="H13" s="207">
        <f>D28</f>
        <v>6.7460000000000006E-2</v>
      </c>
      <c r="L13" s="448"/>
      <c r="M13" s="191">
        <v>0.2049</v>
      </c>
      <c r="N13" s="192">
        <v>87086</v>
      </c>
      <c r="O13" s="192">
        <v>88489</v>
      </c>
      <c r="P13" s="192">
        <v>89981</v>
      </c>
      <c r="Q13" s="192">
        <v>91612</v>
      </c>
      <c r="R13" s="192">
        <v>93357</v>
      </c>
      <c r="S13" s="256">
        <f>P11/O11-1</f>
        <v>2.1953983347292594E-2</v>
      </c>
      <c r="T13" s="256"/>
    </row>
    <row r="14" spans="1:20" ht="26" customHeight="1" x14ac:dyDescent="0.2">
      <c r="A14" s="208">
        <f>B2</f>
        <v>0</v>
      </c>
      <c r="B14" s="203" t="s">
        <v>590</v>
      </c>
      <c r="C14" s="209">
        <f t="shared" ref="C14:H14" si="2">B8</f>
        <v>2914412.3976861681</v>
      </c>
      <c r="D14" s="209">
        <f>C8</f>
        <v>1456900.6932230135</v>
      </c>
      <c r="E14" s="209">
        <f t="shared" si="2"/>
        <v>1877665.7864280287</v>
      </c>
      <c r="F14" s="209">
        <f t="shared" si="2"/>
        <v>2388466.1989925043</v>
      </c>
      <c r="G14" s="209">
        <f t="shared" si="2"/>
        <v>2014212.0013717287</v>
      </c>
      <c r="H14" s="209">
        <f t="shared" si="2"/>
        <v>2037277.5870614906</v>
      </c>
      <c r="L14" s="448"/>
      <c r="M14" s="191">
        <v>0.21490000000000001</v>
      </c>
      <c r="N14" s="205">
        <v>82067</v>
      </c>
      <c r="O14" s="205">
        <v>83245</v>
      </c>
      <c r="P14" s="192">
        <v>84503</v>
      </c>
      <c r="Q14" s="205">
        <v>85849</v>
      </c>
      <c r="R14" s="205">
        <v>87292</v>
      </c>
      <c r="S14" s="256">
        <f>P13/P14-1</f>
        <v>6.4826100848490498E-2</v>
      </c>
    </row>
    <row r="15" spans="1:20" ht="26" customHeight="1" x14ac:dyDescent="0.2">
      <c r="A15" s="206" t="s">
        <v>637</v>
      </c>
      <c r="B15" s="203"/>
      <c r="C15" s="203"/>
      <c r="D15" s="203"/>
      <c r="E15" s="203"/>
      <c r="F15" s="203"/>
      <c r="G15" s="210"/>
      <c r="H15" s="211">
        <f>H14/(G13-H13)</f>
        <v>14823032.501902586</v>
      </c>
      <c r="L15" s="448"/>
      <c r="M15" s="191">
        <v>0.22489999999999999</v>
      </c>
      <c r="N15" s="205">
        <v>77636</v>
      </c>
      <c r="O15" s="205">
        <v>78633</v>
      </c>
      <c r="P15" s="192">
        <v>79694</v>
      </c>
      <c r="Q15" s="205">
        <v>80824</v>
      </c>
      <c r="R15" s="205">
        <v>82031</v>
      </c>
      <c r="S15" s="256">
        <f>P13/N15-1</f>
        <v>0.15901128342521509</v>
      </c>
    </row>
    <row r="16" spans="1:20" x14ac:dyDescent="0.2">
      <c r="A16" s="206" t="s">
        <v>736</v>
      </c>
      <c r="B16" s="203" t="s">
        <v>640</v>
      </c>
      <c r="C16" s="212">
        <f>C14/(1+C13)^C11</f>
        <v>2418800.2304640785</v>
      </c>
      <c r="D16" s="212">
        <f t="shared" ref="D16:F16" si="3">D14/(1+D13)^D11</f>
        <v>1003524.4107854679</v>
      </c>
      <c r="E16" s="212">
        <f t="shared" si="3"/>
        <v>1073409.1173358157</v>
      </c>
      <c r="F16" s="212">
        <f t="shared" si="3"/>
        <v>1133222.2216153983</v>
      </c>
      <c r="G16" s="212">
        <f>(H15+G14)/(1+G13)^G11</f>
        <v>6630037.6811870597</v>
      </c>
      <c r="H16" s="203" t="s">
        <v>754</v>
      </c>
      <c r="S16" s="256"/>
    </row>
    <row r="17" spans="1:18" x14ac:dyDescent="0.2">
      <c r="A17" s="445" t="s">
        <v>643</v>
      </c>
      <c r="B17" s="203"/>
      <c r="C17" s="212"/>
      <c r="D17" s="212"/>
      <c r="E17" s="212"/>
      <c r="F17" s="212"/>
      <c r="G17" s="212"/>
      <c r="H17" s="211"/>
    </row>
    <row r="18" spans="1:18" x14ac:dyDescent="0.2">
      <c r="A18" s="446"/>
      <c r="B18" s="203" t="s">
        <v>641</v>
      </c>
      <c r="C18" s="213">
        <f>(SUM(C16:G16)/136.24)</f>
        <v>89980.869505195384</v>
      </c>
      <c r="D18" s="203"/>
      <c r="E18" s="203"/>
      <c r="F18" s="203"/>
      <c r="G18" s="203"/>
      <c r="H18" s="203"/>
      <c r="L18" s="449" t="s">
        <v>756</v>
      </c>
      <c r="M18" s="450"/>
      <c r="N18" s="453" t="s">
        <v>649</v>
      </c>
      <c r="O18" s="454"/>
      <c r="P18" s="454"/>
      <c r="Q18" s="454"/>
      <c r="R18" s="455"/>
    </row>
    <row r="19" spans="1:18" x14ac:dyDescent="0.2">
      <c r="B19" s="203" t="s">
        <v>642</v>
      </c>
      <c r="C19" s="214">
        <f>101800</f>
        <v>101800</v>
      </c>
      <c r="D19" s="193" t="s">
        <v>646</v>
      </c>
      <c r="L19" s="451"/>
      <c r="M19" s="452"/>
      <c r="N19" s="190">
        <v>5.7500000000000002E-2</v>
      </c>
      <c r="O19" s="190">
        <v>6.25E-2</v>
      </c>
      <c r="P19" s="190">
        <v>6.7500000000000004E-2</v>
      </c>
      <c r="Q19" s="190">
        <v>7.2499999999999995E-2</v>
      </c>
      <c r="R19" s="190">
        <v>7.7499999999999999E-2</v>
      </c>
    </row>
    <row r="20" spans="1:18" x14ac:dyDescent="0.2">
      <c r="B20" s="447" t="s">
        <v>904</v>
      </c>
      <c r="C20" s="447"/>
      <c r="L20" s="456" t="s">
        <v>763</v>
      </c>
      <c r="M20" s="191">
        <v>0.18490000000000001</v>
      </c>
      <c r="N20" s="205">
        <v>99432</v>
      </c>
      <c r="O20" s="205">
        <v>101485</v>
      </c>
      <c r="P20" s="192">
        <v>103713</v>
      </c>
      <c r="Q20" s="205">
        <v>106139</v>
      </c>
      <c r="R20" s="205">
        <v>108790</v>
      </c>
    </row>
    <row r="21" spans="1:18" x14ac:dyDescent="0.2">
      <c r="A21" s="193" t="s">
        <v>590</v>
      </c>
      <c r="B21" s="202"/>
      <c r="C21" s="202"/>
      <c r="D21" s="202"/>
      <c r="E21" s="202"/>
      <c r="F21" s="202"/>
      <c r="G21" s="202"/>
      <c r="L21" s="457"/>
      <c r="M21" s="191">
        <v>0.19489999999999999</v>
      </c>
      <c r="N21" s="205">
        <v>92818</v>
      </c>
      <c r="O21" s="205">
        <v>94506</v>
      </c>
      <c r="P21" s="192">
        <v>96325</v>
      </c>
      <c r="Q21" s="205">
        <v>98294</v>
      </c>
      <c r="R21" s="205">
        <v>100430</v>
      </c>
    </row>
    <row r="22" spans="1:18" x14ac:dyDescent="0.2">
      <c r="L22" s="457"/>
      <c r="M22" s="191">
        <v>0.2049</v>
      </c>
      <c r="N22" s="192">
        <v>87086</v>
      </c>
      <c r="O22" s="192">
        <v>88489</v>
      </c>
      <c r="P22" s="192">
        <v>89981</v>
      </c>
      <c r="Q22" s="192">
        <v>91612</v>
      </c>
      <c r="R22" s="192">
        <v>93357</v>
      </c>
    </row>
    <row r="23" spans="1:18" x14ac:dyDescent="0.2">
      <c r="B23" s="215" t="s">
        <v>737</v>
      </c>
      <c r="C23" s="216">
        <v>5.8000000000000003E-2</v>
      </c>
      <c r="L23" s="457"/>
      <c r="M23" s="191">
        <v>0.21490000000000001</v>
      </c>
      <c r="N23" s="205">
        <v>82067</v>
      </c>
      <c r="O23" s="205">
        <v>83245</v>
      </c>
      <c r="P23" s="192">
        <v>84503</v>
      </c>
      <c r="Q23" s="205">
        <v>85849</v>
      </c>
      <c r="R23" s="205">
        <v>87292</v>
      </c>
    </row>
    <row r="24" spans="1:18" x14ac:dyDescent="0.2">
      <c r="B24" s="193" t="s">
        <v>738</v>
      </c>
      <c r="C24" s="216">
        <v>3.4000000000000002E-2</v>
      </c>
      <c r="D24" s="216"/>
      <c r="L24" s="458"/>
      <c r="M24" s="191">
        <v>0.22489999999999999</v>
      </c>
      <c r="N24" s="205">
        <v>77636</v>
      </c>
      <c r="O24" s="205">
        <v>78633</v>
      </c>
      <c r="P24" s="192">
        <v>79694</v>
      </c>
      <c r="Q24" s="205">
        <v>80824</v>
      </c>
      <c r="R24" s="205">
        <v>82031</v>
      </c>
    </row>
    <row r="25" spans="1:18" x14ac:dyDescent="0.2">
      <c r="B25" s="193" t="s">
        <v>739</v>
      </c>
      <c r="C25" s="216">
        <v>7.2999999999999995E-2</v>
      </c>
      <c r="D25" s="216">
        <f>C25*44%</f>
        <v>3.2119999999999996E-2</v>
      </c>
      <c r="E25" s="216"/>
    </row>
    <row r="26" spans="1:18" x14ac:dyDescent="0.2">
      <c r="B26" s="193" t="s">
        <v>740</v>
      </c>
      <c r="C26" s="217">
        <v>2.1999999999999999E-2</v>
      </c>
      <c r="D26" s="218">
        <f>SUM(C26:C27)*56%</f>
        <v>4.4800000000000006E-2</v>
      </c>
    </row>
    <row r="27" spans="1:18" x14ac:dyDescent="0.2">
      <c r="B27" s="193" t="s">
        <v>755</v>
      </c>
      <c r="C27" s="216">
        <v>5.8000000000000003E-2</v>
      </c>
      <c r="D27" s="216">
        <f>SUM(D25:D26)</f>
        <v>7.6920000000000002E-2</v>
      </c>
    </row>
    <row r="28" spans="1:18" x14ac:dyDescent="0.2">
      <c r="D28" s="216">
        <f>AVERAGE(D27,C23)</f>
        <v>6.7460000000000006E-2</v>
      </c>
      <c r="G28" s="216">
        <v>6.2E-2</v>
      </c>
    </row>
    <row r="29" spans="1:18" x14ac:dyDescent="0.2">
      <c r="G29" s="193">
        <f>(1+G28)^10</f>
        <v>1.8249256166384047</v>
      </c>
    </row>
    <row r="30" spans="1:18" x14ac:dyDescent="0.2">
      <c r="B30" s="193">
        <v>1</v>
      </c>
      <c r="C30" s="193">
        <v>2</v>
      </c>
      <c r="D30" s="193">
        <v>3</v>
      </c>
      <c r="E30" s="193">
        <v>4</v>
      </c>
      <c r="G30" s="297">
        <f>5500000000</f>
        <v>5500000000</v>
      </c>
    </row>
    <row r="31" spans="1:18" x14ac:dyDescent="0.2">
      <c r="B31" s="193">
        <v>2100</v>
      </c>
      <c r="D31" s="193">
        <v>2740</v>
      </c>
      <c r="E31" s="193">
        <v>3270</v>
      </c>
      <c r="G31" s="388">
        <f>G30/G29</f>
        <v>3013821467.4915071</v>
      </c>
    </row>
    <row r="32" spans="1:18" x14ac:dyDescent="0.2">
      <c r="B32" s="296">
        <v>0.09</v>
      </c>
      <c r="C32" s="296">
        <v>0.09</v>
      </c>
      <c r="D32" s="296">
        <v>0.09</v>
      </c>
      <c r="E32" s="296">
        <v>0.09</v>
      </c>
    </row>
    <row r="33" spans="1:5" x14ac:dyDescent="0.2">
      <c r="A33" s="387">
        <f>SUM(B33:E33)</f>
        <v>6358.9386801376641</v>
      </c>
      <c r="B33" s="387">
        <f>B31/((1+B32)^B30)</f>
        <v>1926.6055045871558</v>
      </c>
      <c r="C33" s="387">
        <f t="shared" ref="C33:E33" si="4">C31/((1+C32)^C30)</f>
        <v>0</v>
      </c>
      <c r="D33" s="387">
        <f t="shared" si="4"/>
        <v>2115.7827353673156</v>
      </c>
      <c r="E33" s="387">
        <f t="shared" si="4"/>
        <v>2316.5504401831922</v>
      </c>
    </row>
    <row r="34" spans="1:5" x14ac:dyDescent="0.2">
      <c r="A34" s="193">
        <f>8200</f>
        <v>8200</v>
      </c>
      <c r="C34" s="387">
        <f>A34-A33</f>
        <v>1841.0613198623359</v>
      </c>
    </row>
    <row r="35" spans="1:5" x14ac:dyDescent="0.2">
      <c r="C35" s="193">
        <f>C34*((1+C32)^C30)</f>
        <v>2187.3649541284417</v>
      </c>
    </row>
  </sheetData>
  <mergeCells count="8">
    <mergeCell ref="A17:A18"/>
    <mergeCell ref="B20:C20"/>
    <mergeCell ref="L9:M10"/>
    <mergeCell ref="N9:R9"/>
    <mergeCell ref="L11:L15"/>
    <mergeCell ref="L18:M19"/>
    <mergeCell ref="N18:R18"/>
    <mergeCell ref="L20:L24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D2D-0CE7-B44F-A7EE-668372112D56}">
  <sheetPr>
    <tabColor theme="9" tint="-0.249977111117893"/>
  </sheetPr>
  <dimension ref="A1:AD41"/>
  <sheetViews>
    <sheetView zoomScale="106" zoomScaleNormal="50" workbookViewId="0">
      <selection activeCell="C25" sqref="C25"/>
    </sheetView>
  </sheetViews>
  <sheetFormatPr baseColWidth="10" defaultColWidth="8.83203125" defaultRowHeight="15" x14ac:dyDescent="0.2"/>
  <cols>
    <col min="1" max="1" width="38.33203125" style="193" customWidth="1"/>
    <col min="2" max="2" width="30.33203125" style="193" bestFit="1" customWidth="1"/>
    <col min="3" max="3" width="20.5" style="193" bestFit="1" customWidth="1"/>
    <col min="4" max="4" width="18.83203125" style="193" bestFit="1" customWidth="1"/>
    <col min="5" max="6" width="10.5" style="193" hidden="1" customWidth="1"/>
    <col min="7" max="7" width="9.6640625" style="193" bestFit="1" customWidth="1"/>
    <col min="8" max="18" width="8.83203125" style="193"/>
    <col min="19" max="25" width="14.83203125" style="193" customWidth="1"/>
    <col min="26" max="16384" width="8.83203125" style="193"/>
  </cols>
  <sheetData>
    <row r="1" spans="1:30" collapsed="1" x14ac:dyDescent="0.2">
      <c r="A1" s="460" t="s">
        <v>652</v>
      </c>
      <c r="B1" s="460" t="s">
        <v>653</v>
      </c>
      <c r="C1" s="460" t="s">
        <v>654</v>
      </c>
      <c r="D1" s="460" t="s">
        <v>655</v>
      </c>
      <c r="E1" s="460" t="s">
        <v>656</v>
      </c>
      <c r="F1" s="460" t="s">
        <v>657</v>
      </c>
      <c r="G1" s="460" t="s">
        <v>657</v>
      </c>
    </row>
    <row r="2" spans="1:30" ht="80" collapsed="1" x14ac:dyDescent="0.2">
      <c r="A2" s="461"/>
      <c r="B2" s="461"/>
      <c r="C2" s="461"/>
      <c r="D2" s="461"/>
      <c r="E2" s="219"/>
      <c r="F2" s="219"/>
      <c r="G2" s="219" t="s">
        <v>658</v>
      </c>
      <c r="H2" s="219" t="s">
        <v>682</v>
      </c>
      <c r="I2" s="193" t="s">
        <v>688</v>
      </c>
      <c r="K2" s="464" t="s">
        <v>687</v>
      </c>
      <c r="L2" s="465"/>
      <c r="M2" s="465"/>
      <c r="N2" s="465"/>
      <c r="O2" s="465"/>
      <c r="P2" s="465"/>
      <c r="Q2" s="465"/>
    </row>
    <row r="3" spans="1:30" collapsed="1" x14ac:dyDescent="0.2">
      <c r="K3" s="465"/>
      <c r="L3" s="465"/>
      <c r="M3" s="465"/>
      <c r="N3" s="465"/>
      <c r="O3" s="465"/>
      <c r="P3" s="465"/>
      <c r="Q3" s="465"/>
    </row>
    <row r="4" spans="1:30" collapsed="1" x14ac:dyDescent="0.2">
      <c r="A4" s="220" t="s">
        <v>659</v>
      </c>
      <c r="B4" s="220" t="s">
        <v>660</v>
      </c>
      <c r="C4" s="220" t="s">
        <v>661</v>
      </c>
      <c r="D4" s="221">
        <v>13742897461822.4</v>
      </c>
      <c r="E4" s="222"/>
      <c r="F4" s="222"/>
      <c r="G4" s="223">
        <v>20.78</v>
      </c>
      <c r="H4" s="224">
        <f>'Model '!C19/'Peer Valuation'!B19</f>
        <v>25.849501065402993</v>
      </c>
      <c r="I4" s="217">
        <f>'Key financial ratios'!I31</f>
        <v>0.21299999999999999</v>
      </c>
      <c r="K4" s="465"/>
      <c r="L4" s="465"/>
      <c r="M4" s="465"/>
      <c r="N4" s="465"/>
      <c r="O4" s="465"/>
      <c r="P4" s="465"/>
      <c r="Q4" s="465"/>
    </row>
    <row r="5" spans="1:30" collapsed="1" x14ac:dyDescent="0.2">
      <c r="A5" s="220" t="s">
        <v>662</v>
      </c>
      <c r="B5" s="220" t="s">
        <v>663</v>
      </c>
      <c r="C5" s="220" t="s">
        <v>661</v>
      </c>
      <c r="D5" s="221">
        <v>62157022021978.797</v>
      </c>
      <c r="E5" s="222"/>
      <c r="F5" s="222"/>
      <c r="G5" s="223">
        <v>15.78569057</v>
      </c>
      <c r="H5" s="193">
        <f>40800/798.45</f>
        <v>51.099004320871686</v>
      </c>
      <c r="I5" s="216">
        <v>0.1852</v>
      </c>
      <c r="K5" s="465"/>
      <c r="L5" s="465"/>
      <c r="M5" s="465"/>
      <c r="N5" s="465"/>
      <c r="O5" s="465"/>
      <c r="P5" s="465"/>
      <c r="Q5" s="465"/>
      <c r="AA5" s="249" t="s">
        <v>683</v>
      </c>
      <c r="AB5" s="250" t="s">
        <v>761</v>
      </c>
      <c r="AC5" s="250" t="s">
        <v>684</v>
      </c>
      <c r="AD5" s="250" t="s">
        <v>762</v>
      </c>
    </row>
    <row r="6" spans="1:30" collapsed="1" x14ac:dyDescent="0.2">
      <c r="A6" s="220" t="s">
        <v>664</v>
      </c>
      <c r="B6" s="220" t="s">
        <v>651</v>
      </c>
      <c r="C6" s="220" t="s">
        <v>665</v>
      </c>
      <c r="D6" s="221">
        <v>8868143987266.5703</v>
      </c>
      <c r="E6" s="222"/>
      <c r="F6" s="222"/>
      <c r="G6" s="223">
        <v>8.8800516654674198</v>
      </c>
      <c r="H6" s="225">
        <f>53200/2349.5</f>
        <v>22.643115556501382</v>
      </c>
      <c r="I6" s="216">
        <v>0.32769999999999999</v>
      </c>
      <c r="K6" s="465"/>
      <c r="L6" s="465"/>
      <c r="M6" s="465"/>
      <c r="N6" s="465"/>
      <c r="O6" s="465"/>
      <c r="P6" s="465"/>
      <c r="Q6" s="465"/>
      <c r="AA6" s="203" t="s">
        <v>759</v>
      </c>
      <c r="AB6" s="247">
        <f>'Model '!C18</f>
        <v>89980.869505195384</v>
      </c>
      <c r="AC6" s="243">
        <v>0.7</v>
      </c>
      <c r="AD6" s="462">
        <f>C26</f>
        <v>89738.411225992197</v>
      </c>
    </row>
    <row r="7" spans="1:30" collapsed="1" x14ac:dyDescent="0.2">
      <c r="A7" s="220" t="s">
        <v>666</v>
      </c>
      <c r="B7" s="220" t="s">
        <v>667</v>
      </c>
      <c r="C7" s="220" t="s">
        <v>668</v>
      </c>
      <c r="D7" s="221">
        <v>2890940961815.1602</v>
      </c>
      <c r="E7" s="222"/>
      <c r="F7" s="222"/>
      <c r="G7" s="223">
        <v>13.39</v>
      </c>
      <c r="H7" s="225">
        <f>27300/1605.94</f>
        <v>16.999389765495597</v>
      </c>
      <c r="I7" s="216">
        <v>5.7799999999999997E-2</v>
      </c>
      <c r="K7" s="465"/>
      <c r="L7" s="465"/>
      <c r="M7" s="465"/>
      <c r="N7" s="465"/>
      <c r="O7" s="465"/>
      <c r="P7" s="465"/>
      <c r="Q7" s="465"/>
      <c r="AA7" s="203" t="s">
        <v>760</v>
      </c>
      <c r="AB7" s="248">
        <f>B21</f>
        <v>89172.675241184756</v>
      </c>
      <c r="AC7" s="243">
        <v>0.3</v>
      </c>
      <c r="AD7" s="463"/>
    </row>
    <row r="8" spans="1:30" collapsed="1" x14ac:dyDescent="0.2">
      <c r="A8" s="226" t="s">
        <v>669</v>
      </c>
      <c r="B8" s="226"/>
      <c r="C8" s="226"/>
      <c r="D8" s="227">
        <v>36898760686481.398</v>
      </c>
      <c r="E8" s="228"/>
      <c r="F8" s="228"/>
      <c r="G8" s="229">
        <f>MEDIAN(G5:G7)</f>
        <v>13.39</v>
      </c>
      <c r="H8" s="230">
        <f>MEDIAN(H5:H7)</f>
        <v>22.643115556501382</v>
      </c>
      <c r="I8" s="231">
        <f>MEDIAN(I4:I7)</f>
        <v>0.1991</v>
      </c>
      <c r="K8" s="465"/>
      <c r="L8" s="465"/>
      <c r="M8" s="465"/>
      <c r="N8" s="465"/>
      <c r="O8" s="465"/>
      <c r="P8" s="465"/>
      <c r="Q8" s="465"/>
    </row>
    <row r="9" spans="1:30" x14ac:dyDescent="0.2">
      <c r="A9" s="226" t="s">
        <v>681</v>
      </c>
      <c r="B9" s="226"/>
      <c r="C9" s="226"/>
      <c r="D9" s="227">
        <v>33982241223425</v>
      </c>
      <c r="E9" s="228"/>
      <c r="F9" s="228"/>
      <c r="G9" s="229">
        <f>AVERAGE(G5:G7)</f>
        <v>12.685247411822473</v>
      </c>
      <c r="H9" s="230">
        <f>AVERAGE(H5:H7)</f>
        <v>30.247169880956221</v>
      </c>
      <c r="I9" s="231">
        <f>AVERAGE(I4:I7)</f>
        <v>0.19592499999999999</v>
      </c>
      <c r="K9" s="465"/>
      <c r="L9" s="465"/>
      <c r="M9" s="465"/>
      <c r="N9" s="465"/>
      <c r="O9" s="465"/>
      <c r="P9" s="465"/>
      <c r="Q9" s="465"/>
    </row>
    <row r="10" spans="1:30" hidden="1" collapsed="1" x14ac:dyDescent="0.2">
      <c r="A10" s="226" t="s">
        <v>670</v>
      </c>
      <c r="B10" s="226"/>
      <c r="C10" s="226"/>
      <c r="D10" s="227">
        <v>2890940961815.1602</v>
      </c>
      <c r="E10" s="228"/>
      <c r="F10" s="228"/>
      <c r="G10" s="232">
        <v>5.9595714949999996</v>
      </c>
      <c r="K10" s="465"/>
      <c r="L10" s="465"/>
      <c r="M10" s="465"/>
      <c r="N10" s="465"/>
      <c r="O10" s="465"/>
      <c r="P10" s="465"/>
      <c r="Q10" s="465"/>
    </row>
    <row r="11" spans="1:30" hidden="1" collapsed="1" x14ac:dyDescent="0.2">
      <c r="A11" s="226" t="s">
        <v>671</v>
      </c>
      <c r="B11" s="226"/>
      <c r="C11" s="226"/>
      <c r="D11" s="227">
        <v>43021975555692.891</v>
      </c>
      <c r="E11" s="228"/>
      <c r="F11" s="228"/>
      <c r="G11" s="232">
        <v>18.476358621395079</v>
      </c>
      <c r="K11" s="465"/>
      <c r="L11" s="465"/>
      <c r="M11" s="465"/>
      <c r="N11" s="465"/>
      <c r="O11" s="465"/>
      <c r="P11" s="465"/>
      <c r="Q11" s="465"/>
    </row>
    <row r="12" spans="1:30" collapsed="1" x14ac:dyDescent="0.2">
      <c r="A12" s="226" t="s">
        <v>672</v>
      </c>
      <c r="B12" s="226"/>
      <c r="C12" s="226"/>
      <c r="D12" s="227">
        <v>3190278272365.9702</v>
      </c>
      <c r="E12" s="228"/>
      <c r="F12" s="228"/>
      <c r="G12" s="232">
        <v>14.179339803</v>
      </c>
    </row>
    <row r="13" spans="1:30" x14ac:dyDescent="0.2">
      <c r="H13" s="233"/>
    </row>
    <row r="14" spans="1:30" x14ac:dyDescent="0.2">
      <c r="B14" s="234"/>
    </row>
    <row r="15" spans="1:30" x14ac:dyDescent="0.2">
      <c r="A15" s="203" t="s">
        <v>673</v>
      </c>
      <c r="B15" s="235" t="s">
        <v>650</v>
      </c>
    </row>
    <row r="16" spans="1:30" x14ac:dyDescent="0.2">
      <c r="A16" s="203" t="s">
        <v>674</v>
      </c>
      <c r="B16" s="236">
        <f>'FPT Digital Retail JSC | Income'!J74</f>
        <v>674057.52295950032</v>
      </c>
    </row>
    <row r="17" spans="1:25" x14ac:dyDescent="0.2">
      <c r="A17" s="203" t="s">
        <v>675</v>
      </c>
      <c r="B17" s="237">
        <f>'FPT Digital Retail JSC | Income'!J89</f>
        <v>536537.70588874537</v>
      </c>
    </row>
    <row r="18" spans="1:25" x14ac:dyDescent="0.2">
      <c r="A18" s="203" t="s">
        <v>676</v>
      </c>
      <c r="B18" s="204">
        <f>136.24</f>
        <v>136.24</v>
      </c>
      <c r="C18" s="202"/>
    </row>
    <row r="19" spans="1:25" x14ac:dyDescent="0.2">
      <c r="A19" s="203" t="s">
        <v>677</v>
      </c>
      <c r="B19" s="238">
        <f>B17/B18</f>
        <v>3938.1804601346544</v>
      </c>
    </row>
    <row r="20" spans="1:25" x14ac:dyDescent="0.2">
      <c r="A20" s="203" t="s">
        <v>678</v>
      </c>
      <c r="B20" s="238">
        <f>H8</f>
        <v>22.643115556501382</v>
      </c>
    </row>
    <row r="21" spans="1:25" x14ac:dyDescent="0.2">
      <c r="A21" s="203" t="s">
        <v>679</v>
      </c>
      <c r="B21" s="239">
        <f>B20*B19</f>
        <v>89172.675241184756</v>
      </c>
      <c r="C21" s="240"/>
    </row>
    <row r="22" spans="1:25" x14ac:dyDescent="0.2">
      <c r="A22" s="241"/>
      <c r="B22" s="242"/>
    </row>
    <row r="23" spans="1:25" x14ac:dyDescent="0.2">
      <c r="A23" s="203" t="s">
        <v>683</v>
      </c>
      <c r="B23" s="203" t="s">
        <v>684</v>
      </c>
      <c r="C23" s="203" t="s">
        <v>685</v>
      </c>
    </row>
    <row r="24" spans="1:25" x14ac:dyDescent="0.2">
      <c r="A24" s="203" t="s">
        <v>590</v>
      </c>
      <c r="B24" s="243">
        <v>0.7</v>
      </c>
      <c r="C24" s="213">
        <f>'Model '!C18*'Peer Valuation'!B24</f>
        <v>62986.608653636766</v>
      </c>
    </row>
    <row r="25" spans="1:25" x14ac:dyDescent="0.2">
      <c r="A25" s="203" t="s">
        <v>649</v>
      </c>
      <c r="B25" s="243">
        <v>0.3</v>
      </c>
      <c r="C25" s="213">
        <f>B21*B25</f>
        <v>26751.802572355427</v>
      </c>
    </row>
    <row r="26" spans="1:25" ht="24" x14ac:dyDescent="0.3">
      <c r="A26" s="459" t="s">
        <v>686</v>
      </c>
      <c r="B26" s="459"/>
      <c r="C26" s="246">
        <f>SUM(C24:C25)</f>
        <v>89738.411225992197</v>
      </c>
    </row>
    <row r="27" spans="1:25" x14ac:dyDescent="0.2">
      <c r="C27" s="218">
        <f>C26/'Model '!C19-1</f>
        <v>-0.11848319031441845</v>
      </c>
    </row>
    <row r="29" spans="1:25" x14ac:dyDescent="0.2">
      <c r="A29" s="244" t="s">
        <v>690</v>
      </c>
      <c r="S29" s="448" t="s">
        <v>756</v>
      </c>
      <c r="T29" s="448"/>
      <c r="U29" s="448" t="s">
        <v>649</v>
      </c>
      <c r="V29" s="448"/>
      <c r="W29" s="448"/>
      <c r="X29" s="448"/>
      <c r="Y29" s="448"/>
    </row>
    <row r="30" spans="1:25" x14ac:dyDescent="0.2">
      <c r="S30" s="448"/>
      <c r="T30" s="448"/>
      <c r="U30" s="254">
        <f>V30-0.5</f>
        <v>21.64</v>
      </c>
      <c r="V30" s="254">
        <f>W30-0.5</f>
        <v>22.14</v>
      </c>
      <c r="W30" s="254">
        <f>22.64</f>
        <v>22.64</v>
      </c>
      <c r="X30" s="254">
        <f>W30+0.5</f>
        <v>23.14</v>
      </c>
      <c r="Y30" s="254">
        <f>X30+0.5</f>
        <v>23.64</v>
      </c>
    </row>
    <row r="31" spans="1:25" x14ac:dyDescent="0.2">
      <c r="S31" s="448" t="s">
        <v>763</v>
      </c>
      <c r="T31" s="251">
        <f>T32-500</f>
        <v>2938</v>
      </c>
      <c r="U31" s="252"/>
      <c r="V31" s="252"/>
      <c r="W31" s="253"/>
      <c r="X31" s="252"/>
      <c r="Y31" s="252"/>
    </row>
    <row r="32" spans="1:25" x14ac:dyDescent="0.2">
      <c r="S32" s="448"/>
      <c r="T32" s="251">
        <f>T33-500</f>
        <v>3438</v>
      </c>
      <c r="U32" s="205"/>
      <c r="V32" s="205"/>
      <c r="W32" s="192"/>
      <c r="X32" s="205"/>
      <c r="Y32" s="205"/>
    </row>
    <row r="33" spans="3:25" x14ac:dyDescent="0.2">
      <c r="S33" s="448"/>
      <c r="T33" s="251">
        <f>3938</f>
        <v>3938</v>
      </c>
      <c r="U33" s="192"/>
      <c r="V33" s="192"/>
      <c r="W33" s="192">
        <f>89173</f>
        <v>89173</v>
      </c>
      <c r="X33" s="192"/>
      <c r="Y33" s="192"/>
    </row>
    <row r="34" spans="3:25" x14ac:dyDescent="0.2">
      <c r="S34" s="448"/>
      <c r="T34" s="251">
        <f>T33+500</f>
        <v>4438</v>
      </c>
      <c r="U34" s="205"/>
      <c r="V34" s="205"/>
      <c r="W34" s="192"/>
      <c r="X34" s="205"/>
      <c r="Y34" s="205"/>
    </row>
    <row r="35" spans="3:25" x14ac:dyDescent="0.2">
      <c r="S35" s="448"/>
      <c r="T35" s="251">
        <f>T34+500</f>
        <v>4938</v>
      </c>
      <c r="U35" s="205"/>
      <c r="V35" s="205"/>
      <c r="W35" s="192"/>
      <c r="X35" s="205"/>
      <c r="Y35" s="205"/>
    </row>
    <row r="36" spans="3:25" x14ac:dyDescent="0.2">
      <c r="E36" s="242"/>
      <c r="F36" s="242"/>
      <c r="G36" s="242"/>
      <c r="H36" s="245"/>
      <c r="I36" s="242"/>
      <c r="J36" s="242"/>
    </row>
    <row r="37" spans="3:25" x14ac:dyDescent="0.2">
      <c r="C37" s="242"/>
    </row>
    <row r="38" spans="3:25" x14ac:dyDescent="0.2">
      <c r="C38" s="242"/>
    </row>
    <row r="39" spans="3:25" x14ac:dyDescent="0.2">
      <c r="C39" s="245"/>
    </row>
    <row r="40" spans="3:25" x14ac:dyDescent="0.2">
      <c r="C40" s="242"/>
    </row>
    <row r="41" spans="3:25" x14ac:dyDescent="0.2">
      <c r="C41" s="242"/>
    </row>
  </sheetData>
  <mergeCells count="11">
    <mergeCell ref="AD6:AD7"/>
    <mergeCell ref="S29:T30"/>
    <mergeCell ref="U29:Y29"/>
    <mergeCell ref="S31:S35"/>
    <mergeCell ref="E1:G1"/>
    <mergeCell ref="K2:Q11"/>
    <mergeCell ref="A26:B26"/>
    <mergeCell ref="A1:A2"/>
    <mergeCell ref="B1:B2"/>
    <mergeCell ref="C1:C2"/>
    <mergeCell ref="D1:D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6DC8-10AC-394F-B63C-9B05291FCE7F}">
  <dimension ref="A1:O67"/>
  <sheetViews>
    <sheetView topLeftCell="A25" workbookViewId="0">
      <selection activeCell="Q60" sqref="Q60"/>
    </sheetView>
  </sheetViews>
  <sheetFormatPr baseColWidth="10" defaultColWidth="8.83203125" defaultRowHeight="15" x14ac:dyDescent="0.2"/>
  <cols>
    <col min="1" max="1" width="20.6640625" style="270" customWidth="1"/>
    <col min="2" max="2" width="14.83203125" style="270" customWidth="1"/>
    <col min="3" max="3" width="12.83203125" style="270" customWidth="1"/>
    <col min="4" max="4" width="14.6640625" bestFit="1" customWidth="1"/>
    <col min="5" max="5" width="10.83203125" bestFit="1" customWidth="1"/>
    <col min="7" max="7" width="19.83203125" customWidth="1"/>
    <col min="9" max="9" width="11" customWidth="1"/>
  </cols>
  <sheetData>
    <row r="1" spans="1:5" x14ac:dyDescent="0.2">
      <c r="A1" s="257" t="s">
        <v>792</v>
      </c>
      <c r="B1" s="257" t="s">
        <v>793</v>
      </c>
      <c r="C1" s="257" t="s">
        <v>716</v>
      </c>
      <c r="D1" s="257" t="s">
        <v>794</v>
      </c>
      <c r="E1" s="257" t="s">
        <v>795</v>
      </c>
    </row>
    <row r="2" spans="1:5" x14ac:dyDescent="0.2">
      <c r="A2" s="258">
        <v>43220</v>
      </c>
      <c r="B2" s="259">
        <v>1050.26</v>
      </c>
      <c r="C2" s="260">
        <v>44455.329742000002</v>
      </c>
      <c r="D2" s="269"/>
      <c r="E2" s="269"/>
    </row>
    <row r="3" spans="1:5" x14ac:dyDescent="0.2">
      <c r="A3" s="258">
        <v>43251</v>
      </c>
      <c r="B3" s="259">
        <v>971.25</v>
      </c>
      <c r="C3" s="260">
        <v>42566.345737000003</v>
      </c>
      <c r="D3" s="261">
        <f t="shared" ref="D3:D34" si="0">B3/B4-1</f>
        <v>1.0897395865858917E-2</v>
      </c>
      <c r="E3" s="261">
        <f t="shared" ref="E3:E34" si="1">C3/C4-1</f>
        <v>0.1160493827161142</v>
      </c>
    </row>
    <row r="4" spans="1:5" x14ac:dyDescent="0.2">
      <c r="A4" s="258">
        <v>43281</v>
      </c>
      <c r="B4" s="259">
        <v>960.78</v>
      </c>
      <c r="C4" s="260">
        <v>38140.199166999999</v>
      </c>
      <c r="D4" s="261">
        <f t="shared" si="0"/>
        <v>4.5901776471941602E-3</v>
      </c>
      <c r="E4" s="261">
        <f t="shared" si="1"/>
        <v>8.2887700547892518E-2</v>
      </c>
    </row>
    <row r="5" spans="1:5" x14ac:dyDescent="0.2">
      <c r="A5" s="258">
        <v>43312</v>
      </c>
      <c r="B5" s="259">
        <v>956.39</v>
      </c>
      <c r="C5" s="260">
        <v>35220.825897000002</v>
      </c>
      <c r="D5" s="261">
        <f t="shared" si="0"/>
        <v>-3.3500414333932915E-2</v>
      </c>
      <c r="E5" s="261">
        <f t="shared" si="1"/>
        <v>-2.0942408398648471E-2</v>
      </c>
    </row>
    <row r="6" spans="1:5" x14ac:dyDescent="0.2">
      <c r="A6" s="258">
        <v>43343</v>
      </c>
      <c r="B6" s="259">
        <v>989.54</v>
      </c>
      <c r="C6" s="260">
        <v>35974.212548000003</v>
      </c>
      <c r="D6" s="261">
        <f t="shared" si="0"/>
        <v>-2.7125342876525127E-2</v>
      </c>
      <c r="E6" s="261">
        <f t="shared" si="1"/>
        <v>3.9421813426887553E-3</v>
      </c>
    </row>
    <row r="7" spans="1:5" x14ac:dyDescent="0.2">
      <c r="A7" s="258">
        <v>43373</v>
      </c>
      <c r="B7" s="259">
        <v>1017.13</v>
      </c>
      <c r="C7" s="260">
        <v>35832.952551000002</v>
      </c>
      <c r="D7" s="261">
        <f t="shared" si="0"/>
        <v>0.11190913463640739</v>
      </c>
      <c r="E7" s="261">
        <f t="shared" si="1"/>
        <v>4.6767537835444628E-2</v>
      </c>
    </row>
    <row r="8" spans="1:5" x14ac:dyDescent="0.2">
      <c r="A8" s="258">
        <v>43404</v>
      </c>
      <c r="B8" s="259">
        <v>914.76</v>
      </c>
      <c r="C8" s="260">
        <v>34232.005919000003</v>
      </c>
      <c r="D8" s="261">
        <f t="shared" si="0"/>
        <v>-1.2713968096358497E-2</v>
      </c>
      <c r="E8" s="261">
        <f t="shared" si="1"/>
        <v>-4.1095890435666194E-3</v>
      </c>
    </row>
    <row r="9" spans="1:5" x14ac:dyDescent="0.2">
      <c r="A9" s="258">
        <v>43434</v>
      </c>
      <c r="B9" s="259">
        <v>926.54</v>
      </c>
      <c r="C9" s="260">
        <v>34373.265915999997</v>
      </c>
      <c r="D9" s="261">
        <f t="shared" si="0"/>
        <v>3.8093530822147947E-2</v>
      </c>
      <c r="E9" s="261">
        <f t="shared" si="1"/>
        <v>1.5299026424933526E-2</v>
      </c>
    </row>
    <row r="10" spans="1:5" x14ac:dyDescent="0.2">
      <c r="A10" s="258">
        <v>43465</v>
      </c>
      <c r="B10" s="259">
        <v>892.54</v>
      </c>
      <c r="C10" s="260">
        <v>33855.312594000003</v>
      </c>
      <c r="D10" s="261">
        <f t="shared" si="0"/>
        <v>-1.9886893976829745E-2</v>
      </c>
      <c r="E10" s="261">
        <f t="shared" si="1"/>
        <v>5.1169590664700504E-2</v>
      </c>
    </row>
    <row r="11" spans="1:5" x14ac:dyDescent="0.2">
      <c r="A11" s="258">
        <v>43496</v>
      </c>
      <c r="B11" s="259">
        <v>910.65</v>
      </c>
      <c r="C11" s="260">
        <v>32207.279296000001</v>
      </c>
      <c r="D11" s="261">
        <f t="shared" si="0"/>
        <v>-5.678063533822908E-2</v>
      </c>
      <c r="E11" s="261">
        <f t="shared" si="1"/>
        <v>0.1121951219518933</v>
      </c>
    </row>
    <row r="12" spans="1:5" x14ac:dyDescent="0.2">
      <c r="A12" s="258">
        <v>43524</v>
      </c>
      <c r="B12" s="259">
        <v>965.47</v>
      </c>
      <c r="C12" s="260">
        <v>28958.299367</v>
      </c>
      <c r="D12" s="261">
        <f t="shared" si="0"/>
        <v>-1.5589950650515938E-2</v>
      </c>
      <c r="E12" s="261">
        <f t="shared" si="1"/>
        <v>0.23742454727243922</v>
      </c>
    </row>
    <row r="13" spans="1:5" x14ac:dyDescent="0.2">
      <c r="A13" s="258">
        <v>43555</v>
      </c>
      <c r="B13" s="259">
        <v>980.76</v>
      </c>
      <c r="C13" s="260">
        <v>23402.072821999998</v>
      </c>
      <c r="D13" s="261">
        <f t="shared" si="0"/>
        <v>1.1432771222081861E-3</v>
      </c>
      <c r="E13" s="261">
        <f t="shared" si="1"/>
        <v>-2.9296875017418178E-2</v>
      </c>
    </row>
    <row r="14" spans="1:5" x14ac:dyDescent="0.2">
      <c r="A14" s="258">
        <v>43585</v>
      </c>
      <c r="B14" s="259">
        <v>979.64</v>
      </c>
      <c r="C14" s="260">
        <v>24108.372807</v>
      </c>
      <c r="D14" s="261">
        <f t="shared" si="0"/>
        <v>2.0585906571654711E-2</v>
      </c>
      <c r="E14" s="261">
        <f t="shared" si="1"/>
        <v>9.861932930676609E-3</v>
      </c>
    </row>
    <row r="15" spans="1:5" x14ac:dyDescent="0.2">
      <c r="A15" s="258">
        <v>43616</v>
      </c>
      <c r="B15" s="259">
        <v>959.88</v>
      </c>
      <c r="C15" s="260">
        <v>23872.939479000001</v>
      </c>
      <c r="D15" s="261">
        <f t="shared" si="0"/>
        <v>1.0463818767501021E-2</v>
      </c>
      <c r="E15" s="261">
        <f t="shared" si="1"/>
        <v>-0.22248302029595668</v>
      </c>
    </row>
    <row r="16" spans="1:5" x14ac:dyDescent="0.2">
      <c r="A16" s="258">
        <v>43646</v>
      </c>
      <c r="B16" s="259">
        <v>949.94</v>
      </c>
      <c r="C16" s="260">
        <v>30704.074768999999</v>
      </c>
      <c r="D16" s="261">
        <f t="shared" si="0"/>
        <v>-4.2070871064679327E-2</v>
      </c>
      <c r="E16" s="261">
        <f t="shared" si="1"/>
        <v>0.15941999999256917</v>
      </c>
    </row>
    <row r="17" spans="1:12" x14ac:dyDescent="0.2">
      <c r="A17" s="258">
        <v>43677</v>
      </c>
      <c r="B17" s="259">
        <v>991.66</v>
      </c>
      <c r="C17" s="260">
        <v>26482.271109000001</v>
      </c>
      <c r="D17" s="261">
        <f t="shared" si="0"/>
        <v>7.72310631465567E-3</v>
      </c>
      <c r="E17" s="261">
        <f t="shared" si="1"/>
        <v>9.0909090920325619E-2</v>
      </c>
    </row>
    <row r="18" spans="1:12" x14ac:dyDescent="0.2">
      <c r="A18" s="258">
        <v>43708</v>
      </c>
      <c r="B18" s="259">
        <v>984.06</v>
      </c>
      <c r="C18" s="260">
        <v>24275.415183000001</v>
      </c>
      <c r="D18" s="261">
        <f t="shared" si="0"/>
        <v>-1.2543148430601225E-2</v>
      </c>
      <c r="E18" s="261">
        <f t="shared" si="1"/>
        <v>-2.8697571749317308E-2</v>
      </c>
      <c r="G18" t="s">
        <v>796</v>
      </c>
    </row>
    <row r="19" spans="1:12" ht="16" thickBot="1" x14ac:dyDescent="0.25">
      <c r="A19" s="258">
        <v>43738</v>
      </c>
      <c r="B19" s="259">
        <v>996.56</v>
      </c>
      <c r="C19" s="260">
        <v>24992.643359000002</v>
      </c>
      <c r="D19" s="261">
        <f t="shared" si="0"/>
        <v>-2.2626699505416958E-3</v>
      </c>
      <c r="E19" s="261">
        <f t="shared" si="1"/>
        <v>0.10893512850001796</v>
      </c>
    </row>
    <row r="20" spans="1:12" x14ac:dyDescent="0.2">
      <c r="A20" s="258">
        <v>43769</v>
      </c>
      <c r="B20" s="259">
        <v>998.82</v>
      </c>
      <c r="C20" s="260">
        <v>22537.516142</v>
      </c>
      <c r="D20" s="261">
        <f t="shared" si="0"/>
        <v>2.8915786762812257E-2</v>
      </c>
      <c r="E20" s="261">
        <f t="shared" si="1"/>
        <v>0.51858736057964139</v>
      </c>
      <c r="G20" s="262" t="s">
        <v>797</v>
      </c>
      <c r="H20" s="262"/>
    </row>
    <row r="21" spans="1:12" x14ac:dyDescent="0.2">
      <c r="A21" s="258">
        <v>43799</v>
      </c>
      <c r="B21" s="259">
        <v>970.75</v>
      </c>
      <c r="C21" s="260">
        <v>14841.106100999999</v>
      </c>
      <c r="D21" s="261">
        <f t="shared" si="0"/>
        <v>1.0156193092540011E-2</v>
      </c>
      <c r="E21" s="261">
        <f t="shared" si="1"/>
        <v>0.27790973877440273</v>
      </c>
      <c r="G21" t="s">
        <v>798</v>
      </c>
      <c r="H21">
        <v>0.44803807649664801</v>
      </c>
    </row>
    <row r="22" spans="1:12" x14ac:dyDescent="0.2">
      <c r="A22" s="258">
        <v>43830</v>
      </c>
      <c r="B22" s="259">
        <v>960.99</v>
      </c>
      <c r="C22" s="260">
        <v>11613.579309000001</v>
      </c>
      <c r="D22" s="261">
        <f t="shared" si="0"/>
        <v>2.6019089919070648E-2</v>
      </c>
      <c r="E22" s="261">
        <f t="shared" si="1"/>
        <v>0.22740524774100179</v>
      </c>
      <c r="G22" t="s">
        <v>799</v>
      </c>
      <c r="H22">
        <v>0.20073811799081623</v>
      </c>
    </row>
    <row r="23" spans="1:12" x14ac:dyDescent="0.2">
      <c r="A23" s="258">
        <v>43861</v>
      </c>
      <c r="B23" s="259">
        <v>936.62</v>
      </c>
      <c r="C23" s="260">
        <v>9461.8947819999994</v>
      </c>
      <c r="D23" s="261">
        <f t="shared" si="0"/>
        <v>6.1698727031591849E-2</v>
      </c>
      <c r="E23" s="261">
        <f t="shared" si="1"/>
        <v>-0.18527315909682929</v>
      </c>
      <c r="G23" t="s">
        <v>800</v>
      </c>
      <c r="H23">
        <v>0.18805142145098791</v>
      </c>
    </row>
    <row r="24" spans="1:12" x14ac:dyDescent="0.2">
      <c r="A24" s="258">
        <v>43890</v>
      </c>
      <c r="B24" s="259">
        <v>882.19</v>
      </c>
      <c r="C24" s="260">
        <v>11613.579309000001</v>
      </c>
      <c r="D24" s="261">
        <f t="shared" si="0"/>
        <v>0.33154725069053481</v>
      </c>
      <c r="E24" s="261">
        <f t="shared" si="1"/>
        <v>0.88789237664808218</v>
      </c>
      <c r="G24" t="s">
        <v>801</v>
      </c>
      <c r="H24">
        <v>0.19844187806962987</v>
      </c>
    </row>
    <row r="25" spans="1:12" ht="16" thickBot="1" x14ac:dyDescent="0.25">
      <c r="A25" s="258">
        <v>43921</v>
      </c>
      <c r="B25" s="259">
        <v>662.53</v>
      </c>
      <c r="C25" s="260">
        <v>6151.610893</v>
      </c>
      <c r="D25" s="261">
        <f t="shared" si="0"/>
        <v>-0.13857575639375386</v>
      </c>
      <c r="E25" s="261">
        <f t="shared" si="1"/>
        <v>-0.4752941176249823</v>
      </c>
      <c r="G25" s="263" t="s">
        <v>802</v>
      </c>
      <c r="H25" s="263">
        <v>65</v>
      </c>
    </row>
    <row r="26" spans="1:12" x14ac:dyDescent="0.2">
      <c r="A26" s="258">
        <v>43951</v>
      </c>
      <c r="B26" s="259">
        <v>769.11</v>
      </c>
      <c r="C26" s="260">
        <v>11723.922105</v>
      </c>
      <c r="D26" s="261">
        <f t="shared" si="0"/>
        <v>-0.11031036357536994</v>
      </c>
      <c r="E26" s="261">
        <f t="shared" si="1"/>
        <v>-0.18893129776669404</v>
      </c>
    </row>
    <row r="27" spans="1:12" ht="16" thickBot="1" x14ac:dyDescent="0.25">
      <c r="A27" s="258">
        <v>43982</v>
      </c>
      <c r="B27" s="259">
        <v>864.47</v>
      </c>
      <c r="C27" s="260">
        <v>14454.906314</v>
      </c>
      <c r="D27" s="261">
        <f t="shared" si="0"/>
        <v>4.7702730545018168E-2</v>
      </c>
      <c r="E27" s="261">
        <f t="shared" si="1"/>
        <v>0.190909090900103</v>
      </c>
      <c r="G27" t="s">
        <v>803</v>
      </c>
    </row>
    <row r="28" spans="1:12" x14ac:dyDescent="0.2">
      <c r="A28" s="258">
        <v>44012</v>
      </c>
      <c r="B28" s="259">
        <v>825.11</v>
      </c>
      <c r="C28" s="260">
        <v>12137.707592000001</v>
      </c>
      <c r="D28" s="261">
        <f t="shared" si="0"/>
        <v>3.3467353048009185E-2</v>
      </c>
      <c r="E28" s="261">
        <f t="shared" si="1"/>
        <v>7.84313726134791E-2</v>
      </c>
      <c r="G28" s="264"/>
      <c r="H28" s="264" t="s">
        <v>804</v>
      </c>
      <c r="I28" s="264" t="s">
        <v>805</v>
      </c>
      <c r="J28" s="264" t="s">
        <v>806</v>
      </c>
      <c r="K28" s="264" t="s">
        <v>807</v>
      </c>
      <c r="L28" s="264" t="s">
        <v>808</v>
      </c>
    </row>
    <row r="29" spans="1:12" x14ac:dyDescent="0.2">
      <c r="A29" s="258">
        <v>44043</v>
      </c>
      <c r="B29" s="259">
        <v>798.39</v>
      </c>
      <c r="C29" s="260">
        <v>11254.965221</v>
      </c>
      <c r="D29" s="261">
        <f t="shared" si="0"/>
        <v>-9.4436567799013216E-2</v>
      </c>
      <c r="E29" s="261">
        <f t="shared" si="1"/>
        <v>-0.17798628573278497</v>
      </c>
      <c r="G29" t="s">
        <v>809</v>
      </c>
      <c r="H29">
        <v>1</v>
      </c>
      <c r="I29">
        <v>0.62308594282259122</v>
      </c>
      <c r="J29">
        <v>0.62308594282259122</v>
      </c>
      <c r="K29">
        <v>15.822725589803758</v>
      </c>
      <c r="L29">
        <v>1.8216014294009992E-4</v>
      </c>
    </row>
    <row r="30" spans="1:12" x14ac:dyDescent="0.2">
      <c r="A30" s="258">
        <v>44074</v>
      </c>
      <c r="B30" s="259">
        <v>881.65</v>
      </c>
      <c r="C30" s="260">
        <v>13691.943364999999</v>
      </c>
      <c r="D30" s="261">
        <f t="shared" si="0"/>
        <v>-2.6027109731443621E-2</v>
      </c>
      <c r="E30" s="261">
        <f t="shared" si="1"/>
        <v>-8.3333333617006122E-3</v>
      </c>
      <c r="G30" t="s">
        <v>810</v>
      </c>
      <c r="H30">
        <v>63</v>
      </c>
      <c r="I30">
        <v>2.4808882752235171</v>
      </c>
      <c r="J30">
        <v>3.9379178971801855E-2</v>
      </c>
    </row>
    <row r="31" spans="1:12" ht="16" thickBot="1" x14ac:dyDescent="0.25">
      <c r="A31" s="258">
        <v>44104</v>
      </c>
      <c r="B31" s="259">
        <v>905.21</v>
      </c>
      <c r="C31" s="260">
        <v>13807.001713</v>
      </c>
      <c r="D31" s="261">
        <f t="shared" si="0"/>
        <v>-2.1891579413703344E-2</v>
      </c>
      <c r="E31" s="261">
        <f t="shared" si="1"/>
        <v>0.15107913670684159</v>
      </c>
      <c r="G31" s="263" t="s">
        <v>811</v>
      </c>
      <c r="H31" s="263">
        <v>64</v>
      </c>
      <c r="I31" s="263">
        <v>3.1039742180461083</v>
      </c>
      <c r="J31" s="263"/>
      <c r="K31" s="263"/>
      <c r="L31" s="263"/>
    </row>
    <row r="32" spans="1:12" ht="16" thickBot="1" x14ac:dyDescent="0.25">
      <c r="A32" s="258">
        <v>44135</v>
      </c>
      <c r="B32" s="259">
        <v>925.47</v>
      </c>
      <c r="C32" s="260">
        <v>11994.832737999999</v>
      </c>
      <c r="D32" s="261">
        <f t="shared" si="0"/>
        <v>-7.737169517884912E-2</v>
      </c>
      <c r="E32" s="261">
        <f t="shared" si="1"/>
        <v>-0.12210526313878844</v>
      </c>
    </row>
    <row r="33" spans="1:15" x14ac:dyDescent="0.2">
      <c r="A33" s="258">
        <v>44165</v>
      </c>
      <c r="B33" s="259">
        <v>1003.08</v>
      </c>
      <c r="C33" s="260">
        <v>13663.178778</v>
      </c>
      <c r="D33" s="261">
        <f t="shared" si="0"/>
        <v>-9.1306041472274724E-2</v>
      </c>
      <c r="E33" s="261">
        <f t="shared" si="1"/>
        <v>-0.2578125000131557</v>
      </c>
      <c r="G33" s="264"/>
      <c r="H33" s="264" t="s">
        <v>812</v>
      </c>
      <c r="I33" s="264" t="s">
        <v>801</v>
      </c>
      <c r="J33" s="264" t="s">
        <v>813</v>
      </c>
      <c r="K33" s="264" t="s">
        <v>814</v>
      </c>
      <c r="L33" s="264" t="s">
        <v>815</v>
      </c>
      <c r="M33" s="264" t="s">
        <v>816</v>
      </c>
      <c r="N33" s="264" t="s">
        <v>817</v>
      </c>
      <c r="O33" s="264" t="s">
        <v>818</v>
      </c>
    </row>
    <row r="34" spans="1:15" x14ac:dyDescent="0.2">
      <c r="A34" s="258">
        <v>44196</v>
      </c>
      <c r="B34" s="259">
        <v>1103.8699999999999</v>
      </c>
      <c r="C34" s="260">
        <v>18409.335617000001</v>
      </c>
      <c r="D34" s="261">
        <f t="shared" si="0"/>
        <v>4.4727950710290454E-2</v>
      </c>
      <c r="E34" s="261">
        <f t="shared" si="1"/>
        <v>0.22137404583545917</v>
      </c>
      <c r="G34" t="s">
        <v>819</v>
      </c>
      <c r="H34">
        <v>2.6354003577779228E-2</v>
      </c>
      <c r="I34">
        <v>2.4652284622615636E-2</v>
      </c>
      <c r="J34">
        <v>1.0690288539668433</v>
      </c>
      <c r="K34">
        <v>0.28913566963406556</v>
      </c>
      <c r="L34">
        <v>-2.2909656249354225E-2</v>
      </c>
      <c r="M34">
        <v>7.5617663404912688E-2</v>
      </c>
      <c r="N34">
        <v>-2.2909656249354225E-2</v>
      </c>
      <c r="O34">
        <v>7.5617663404912688E-2</v>
      </c>
    </row>
    <row r="35" spans="1:15" ht="16" thickBot="1" x14ac:dyDescent="0.25">
      <c r="A35" s="258">
        <v>44227</v>
      </c>
      <c r="B35" s="259">
        <v>1056.6099999999999</v>
      </c>
      <c r="C35" s="260">
        <v>15072.643536</v>
      </c>
      <c r="D35" s="261">
        <f t="shared" ref="D35:D67" si="2">B35/B36-1</f>
        <v>-9.5732025640367424E-2</v>
      </c>
      <c r="E35" s="261">
        <f t="shared" ref="E35:E67" si="3">C35/C36-1</f>
        <v>-6.4285714318971565E-2</v>
      </c>
      <c r="G35" s="263" t="s">
        <v>820</v>
      </c>
      <c r="H35" s="265">
        <v>1.4986274625189659</v>
      </c>
      <c r="I35" s="263">
        <v>0.3767498071629985</v>
      </c>
      <c r="J35" s="263">
        <v>3.977778976992532</v>
      </c>
      <c r="K35" s="263">
        <v>1.8216014294009992E-4</v>
      </c>
      <c r="L35" s="263">
        <v>0.74575304847827495</v>
      </c>
      <c r="M35" s="263">
        <v>2.2515018765596571</v>
      </c>
      <c r="N35" s="263">
        <v>0.74575304847827495</v>
      </c>
      <c r="O35" s="263">
        <v>2.2515018765596571</v>
      </c>
    </row>
    <row r="36" spans="1:15" x14ac:dyDescent="0.2">
      <c r="A36" s="258">
        <v>44255</v>
      </c>
      <c r="B36" s="259">
        <v>1168.47</v>
      </c>
      <c r="C36" s="260">
        <v>16108.168664999999</v>
      </c>
      <c r="D36" s="261">
        <f t="shared" si="2"/>
        <v>-1.9279191566507814E-2</v>
      </c>
      <c r="E36" s="261">
        <f t="shared" si="3"/>
        <v>-8.0459770105100192E-2</v>
      </c>
    </row>
    <row r="37" spans="1:15" x14ac:dyDescent="0.2">
      <c r="A37" s="258">
        <v>44286</v>
      </c>
      <c r="B37" s="259">
        <v>1191.44</v>
      </c>
      <c r="C37" s="260">
        <v>17517.633422999999</v>
      </c>
      <c r="D37" s="261">
        <f t="shared" si="2"/>
        <v>-3.8688387029103044E-2</v>
      </c>
      <c r="E37" s="261">
        <f t="shared" si="3"/>
        <v>0.1277777777631135</v>
      </c>
    </row>
    <row r="38" spans="1:15" x14ac:dyDescent="0.2">
      <c r="A38" s="258">
        <v>44316</v>
      </c>
      <c r="B38" s="259">
        <v>1239.3900000000001</v>
      </c>
      <c r="C38" s="260">
        <v>15532.876926999999</v>
      </c>
      <c r="D38" s="261">
        <f t="shared" si="2"/>
        <v>-6.6759534656074537E-2</v>
      </c>
      <c r="E38" s="261">
        <f t="shared" si="3"/>
        <v>8.433734940684201E-2</v>
      </c>
      <c r="G38" s="134" t="s">
        <v>821</v>
      </c>
      <c r="H38" s="266">
        <f>2/3*(H35)+1/3</f>
        <v>1.3324183083459773</v>
      </c>
    </row>
    <row r="39" spans="1:15" x14ac:dyDescent="0.2">
      <c r="A39" s="258">
        <v>44347</v>
      </c>
      <c r="B39" s="259">
        <v>1328.05</v>
      </c>
      <c r="C39" s="260">
        <v>14324.764277</v>
      </c>
      <c r="D39" s="261">
        <f t="shared" si="2"/>
        <v>-5.7150970856554628E-2</v>
      </c>
      <c r="E39" s="261">
        <f t="shared" si="3"/>
        <v>-8.1180811768591488E-2</v>
      </c>
      <c r="G39" s="134" t="s">
        <v>822</v>
      </c>
      <c r="H39" s="189">
        <f>16%-H40</f>
        <v>0.13517999999999999</v>
      </c>
      <c r="J39" s="147"/>
    </row>
    <row r="40" spans="1:15" x14ac:dyDescent="0.2">
      <c r="A40" s="258">
        <v>44377</v>
      </c>
      <c r="B40" s="259">
        <v>1408.55</v>
      </c>
      <c r="C40" s="260">
        <v>15590.4061</v>
      </c>
      <c r="D40" s="261">
        <f t="shared" si="2"/>
        <v>7.5187969924812137E-2</v>
      </c>
      <c r="E40" s="261">
        <f t="shared" si="3"/>
        <v>-0.27636849134270802</v>
      </c>
      <c r="G40" s="134" t="s">
        <v>823</v>
      </c>
      <c r="H40" s="189">
        <v>2.4819999999999998E-2</v>
      </c>
      <c r="I40" t="s">
        <v>824</v>
      </c>
      <c r="J40" s="147"/>
    </row>
    <row r="41" spans="1:15" x14ac:dyDescent="0.2">
      <c r="A41" s="258">
        <v>44408</v>
      </c>
      <c r="B41" s="259">
        <v>1310.05</v>
      </c>
      <c r="C41" s="260">
        <v>21544.675588999999</v>
      </c>
      <c r="D41" s="261">
        <f t="shared" si="2"/>
        <v>-1.60874822564534E-2</v>
      </c>
      <c r="E41" s="261">
        <f t="shared" si="3"/>
        <v>-9.1019417491447152E-2</v>
      </c>
      <c r="G41" s="267" t="s">
        <v>825</v>
      </c>
      <c r="H41" s="268">
        <f>H40+(H38*H39)</f>
        <v>0.20493630692220921</v>
      </c>
      <c r="J41" s="147"/>
    </row>
    <row r="42" spans="1:15" x14ac:dyDescent="0.2">
      <c r="A42" s="258">
        <v>44439</v>
      </c>
      <c r="B42" s="259">
        <v>1331.47</v>
      </c>
      <c r="C42" s="260">
        <v>23702.019606999998</v>
      </c>
      <c r="D42" s="261">
        <f t="shared" si="2"/>
        <v>-7.890854358225341E-3</v>
      </c>
      <c r="E42" s="261">
        <f t="shared" si="3"/>
        <v>-0.1335436382591626</v>
      </c>
    </row>
    <row r="43" spans="1:15" x14ac:dyDescent="0.2">
      <c r="A43" s="258">
        <v>44469</v>
      </c>
      <c r="B43" s="259">
        <v>1342.06</v>
      </c>
      <c r="C43" s="260">
        <v>27355.122143000001</v>
      </c>
      <c r="D43" s="261">
        <f t="shared" si="2"/>
        <v>-7.076931598662306E-2</v>
      </c>
      <c r="E43" s="261">
        <f t="shared" si="3"/>
        <v>-8.7332053742642191E-2</v>
      </c>
    </row>
    <row r="44" spans="1:15" x14ac:dyDescent="0.2">
      <c r="A44" s="258">
        <v>44500</v>
      </c>
      <c r="B44" s="259">
        <v>1444.27</v>
      </c>
      <c r="C44" s="260">
        <v>29972.699551000002</v>
      </c>
      <c r="D44" s="261">
        <f t="shared" si="2"/>
        <v>-2.3112199345255879E-2</v>
      </c>
      <c r="E44" s="261">
        <f t="shared" si="3"/>
        <v>-0.10172413792199186</v>
      </c>
    </row>
    <row r="45" spans="1:15" x14ac:dyDescent="0.2">
      <c r="A45" s="258">
        <v>44530</v>
      </c>
      <c r="B45" s="259">
        <v>1478.44</v>
      </c>
      <c r="C45" s="260">
        <v>33366.920805000002</v>
      </c>
      <c r="D45" s="261">
        <f t="shared" si="2"/>
        <v>-1.3241850655418164E-2</v>
      </c>
      <c r="E45" s="261">
        <f t="shared" si="3"/>
        <v>-0.4211576846374907</v>
      </c>
    </row>
    <row r="46" spans="1:15" x14ac:dyDescent="0.2">
      <c r="A46" s="258">
        <v>44561</v>
      </c>
      <c r="B46" s="259">
        <v>1498.28</v>
      </c>
      <c r="C46" s="260">
        <v>57644.232150000003</v>
      </c>
      <c r="D46" s="261">
        <f t="shared" si="2"/>
        <v>1.3063233623627379E-2</v>
      </c>
      <c r="E46" s="261">
        <f t="shared" si="3"/>
        <v>0.14253135689173768</v>
      </c>
    </row>
    <row r="47" spans="1:15" x14ac:dyDescent="0.2">
      <c r="A47" s="258">
        <v>44592</v>
      </c>
      <c r="B47" s="259">
        <v>1478.96</v>
      </c>
      <c r="C47" s="260">
        <v>50453.085424999997</v>
      </c>
      <c r="D47" s="261">
        <f t="shared" si="2"/>
        <v>-7.4959902827270719E-3</v>
      </c>
      <c r="E47" s="261">
        <f t="shared" si="3"/>
        <v>-0.28291087490037226</v>
      </c>
    </row>
    <row r="48" spans="1:15" x14ac:dyDescent="0.2">
      <c r="A48" s="258">
        <v>44620</v>
      </c>
      <c r="B48" s="259">
        <v>1490.13</v>
      </c>
      <c r="C48" s="260">
        <v>70358.179560999997</v>
      </c>
      <c r="D48" s="261">
        <f t="shared" si="2"/>
        <v>-1.353751298461936E-3</v>
      </c>
      <c r="E48" s="261">
        <f t="shared" si="3"/>
        <v>-0.18520986009121121</v>
      </c>
    </row>
    <row r="49" spans="1:5" x14ac:dyDescent="0.2">
      <c r="A49" s="258">
        <v>44651</v>
      </c>
      <c r="B49" s="259">
        <v>1492.15</v>
      </c>
      <c r="C49" s="260">
        <v>86351.289877999996</v>
      </c>
      <c r="D49" s="261">
        <f t="shared" si="2"/>
        <v>9.1710564822944152E-2</v>
      </c>
      <c r="E49" s="261">
        <f t="shared" si="3"/>
        <v>-4.0894568686057564E-2</v>
      </c>
    </row>
    <row r="50" spans="1:5" x14ac:dyDescent="0.2">
      <c r="A50" s="258">
        <v>44681</v>
      </c>
      <c r="B50" s="259">
        <v>1366.8</v>
      </c>
      <c r="C50" s="260">
        <v>90033.157001</v>
      </c>
      <c r="D50" s="261">
        <f t="shared" si="2"/>
        <v>5.7338243029984026E-2</v>
      </c>
      <c r="E50" s="261">
        <f t="shared" si="3"/>
        <v>0.26311541566428809</v>
      </c>
    </row>
    <row r="51" spans="1:5" x14ac:dyDescent="0.2">
      <c r="A51" s="258">
        <v>44712</v>
      </c>
      <c r="B51" s="259">
        <v>1292.68</v>
      </c>
      <c r="C51" s="260">
        <v>71278.646341</v>
      </c>
      <c r="D51" s="261">
        <f t="shared" si="2"/>
        <v>7.9392117568470422E-2</v>
      </c>
      <c r="E51" s="261">
        <f t="shared" si="3"/>
        <v>-9.4297792768263999E-2</v>
      </c>
    </row>
    <row r="52" spans="1:5" x14ac:dyDescent="0.2">
      <c r="A52" s="258">
        <v>44742</v>
      </c>
      <c r="B52" s="259">
        <v>1197.5999999999999</v>
      </c>
      <c r="C52" s="260">
        <v>78699.870412000004</v>
      </c>
      <c r="D52" s="261">
        <f t="shared" si="2"/>
        <v>-7.2368257441993711E-3</v>
      </c>
      <c r="E52" s="261">
        <f t="shared" si="3"/>
        <v>0.26666666666773975</v>
      </c>
    </row>
    <row r="53" spans="1:5" x14ac:dyDescent="0.2">
      <c r="A53" s="258">
        <v>44773</v>
      </c>
      <c r="B53" s="259">
        <v>1206.33</v>
      </c>
      <c r="C53" s="260">
        <v>62131.476641000001</v>
      </c>
      <c r="D53" s="261">
        <f t="shared" si="2"/>
        <v>-5.7930043498293671E-2</v>
      </c>
      <c r="E53" s="261">
        <f t="shared" si="3"/>
        <v>-0.20879120879302793</v>
      </c>
    </row>
    <row r="54" spans="1:5" x14ac:dyDescent="0.2">
      <c r="A54" s="258">
        <v>44804</v>
      </c>
      <c r="B54" s="259">
        <v>1280.51</v>
      </c>
      <c r="C54" s="260">
        <v>78527.282976999995</v>
      </c>
      <c r="D54" s="261">
        <f t="shared" si="2"/>
        <v>0.13108266864527307</v>
      </c>
      <c r="E54" s="261">
        <f t="shared" si="3"/>
        <v>0.24147339700620596</v>
      </c>
    </row>
    <row r="55" spans="1:5" x14ac:dyDescent="0.2">
      <c r="A55" s="258">
        <v>44834</v>
      </c>
      <c r="B55" s="259">
        <v>1132.1099999999999</v>
      </c>
      <c r="C55" s="260">
        <v>63253.294969000002</v>
      </c>
      <c r="D55" s="261">
        <f t="shared" si="2"/>
        <v>0.10133859952915514</v>
      </c>
      <c r="E55" s="261">
        <f t="shared" si="3"/>
        <v>-0.10391198044882632</v>
      </c>
    </row>
    <row r="56" spans="1:5" x14ac:dyDescent="0.2">
      <c r="A56" s="258">
        <v>44865</v>
      </c>
      <c r="B56" s="259">
        <v>1027.94</v>
      </c>
      <c r="C56" s="260">
        <v>70588.260962</v>
      </c>
      <c r="D56" s="261">
        <f t="shared" si="2"/>
        <v>-1.9534156158791394E-2</v>
      </c>
      <c r="E56" s="261">
        <f t="shared" si="3"/>
        <v>0.15211267607128032</v>
      </c>
    </row>
    <row r="57" spans="1:5" x14ac:dyDescent="0.2">
      <c r="A57" s="258">
        <v>44895</v>
      </c>
      <c r="B57" s="259">
        <v>1048.42</v>
      </c>
      <c r="C57" s="260">
        <v>61268.539465000002</v>
      </c>
      <c r="D57" s="261">
        <f t="shared" si="2"/>
        <v>4.1039033254227641E-2</v>
      </c>
      <c r="E57" s="261">
        <f t="shared" si="3"/>
        <v>2.8985507244186248E-2</v>
      </c>
    </row>
    <row r="58" spans="1:5" x14ac:dyDescent="0.2">
      <c r="A58" s="258">
        <v>44926</v>
      </c>
      <c r="B58" s="259">
        <v>1007.09</v>
      </c>
      <c r="C58" s="260">
        <v>59542.665114000003</v>
      </c>
      <c r="D58" s="261">
        <f t="shared" si="2"/>
        <v>-9.3675192138087504E-2</v>
      </c>
      <c r="E58" s="261">
        <f t="shared" si="3"/>
        <v>-6.5040650410716827E-2</v>
      </c>
    </row>
    <row r="59" spans="1:5" x14ac:dyDescent="0.2">
      <c r="A59" s="258">
        <v>44957</v>
      </c>
      <c r="B59" s="259">
        <v>1111.18</v>
      </c>
      <c r="C59" s="260">
        <v>63684.763556999998</v>
      </c>
      <c r="D59" s="261">
        <f t="shared" si="2"/>
        <v>8.4416598352656358E-2</v>
      </c>
      <c r="E59" s="261">
        <f t="shared" si="3"/>
        <v>6.9565217396123646E-2</v>
      </c>
    </row>
    <row r="60" spans="1:5" x14ac:dyDescent="0.2">
      <c r="A60" s="258">
        <v>44985</v>
      </c>
      <c r="B60" s="259">
        <v>1024.68</v>
      </c>
      <c r="C60" s="260">
        <v>59542.665114000003</v>
      </c>
      <c r="D60" s="261">
        <f t="shared" si="2"/>
        <v>-3.7533814247069475E-2</v>
      </c>
      <c r="E60" s="261">
        <f t="shared" si="3"/>
        <v>0.131147540972395</v>
      </c>
    </row>
    <row r="61" spans="1:5" x14ac:dyDescent="0.2">
      <c r="A61" s="258">
        <v>45016</v>
      </c>
      <c r="B61" s="259">
        <v>1064.6400000000001</v>
      </c>
      <c r="C61" s="260">
        <v>52639.167710000002</v>
      </c>
      <c r="D61" s="261">
        <f t="shared" si="2"/>
        <v>1.4793350617660739E-2</v>
      </c>
      <c r="E61" s="261">
        <f t="shared" si="3"/>
        <v>-4.3887147324889408E-2</v>
      </c>
    </row>
    <row r="62" spans="1:5" x14ac:dyDescent="0.2">
      <c r="A62" s="258">
        <v>45046</v>
      </c>
      <c r="B62" s="259">
        <v>1049.1199999999999</v>
      </c>
      <c r="C62" s="260">
        <v>55055.391800999998</v>
      </c>
      <c r="D62" s="261">
        <f t="shared" si="2"/>
        <v>-2.4228726619976548E-2</v>
      </c>
      <c r="E62" s="261">
        <f t="shared" si="3"/>
        <v>1.5698587025774202E-3</v>
      </c>
    </row>
    <row r="63" spans="1:5" x14ac:dyDescent="0.2">
      <c r="A63" s="258">
        <v>45077</v>
      </c>
      <c r="B63" s="259">
        <v>1075.17</v>
      </c>
      <c r="C63" s="260">
        <v>54969.098083999997</v>
      </c>
      <c r="D63" s="261">
        <f t="shared" si="2"/>
        <v>-4.018104233248232E-2</v>
      </c>
      <c r="E63" s="261">
        <f t="shared" si="3"/>
        <v>-0.23227516642458101</v>
      </c>
    </row>
    <row r="64" spans="1:5" x14ac:dyDescent="0.2">
      <c r="A64" s="258">
        <v>45107</v>
      </c>
      <c r="B64" s="259">
        <v>1120.18</v>
      </c>
      <c r="C64" s="260">
        <v>71600</v>
      </c>
      <c r="D64" s="261">
        <f t="shared" si="2"/>
        <v>-8.3997056177937734E-2</v>
      </c>
      <c r="E64" s="261">
        <f t="shared" si="3"/>
        <v>-6.2827225130890008E-2</v>
      </c>
    </row>
    <row r="65" spans="1:5" x14ac:dyDescent="0.2">
      <c r="A65" s="258">
        <v>45138</v>
      </c>
      <c r="B65" s="259">
        <v>1222.9000000000001</v>
      </c>
      <c r="C65" s="260">
        <v>76400</v>
      </c>
      <c r="D65" s="261">
        <f t="shared" si="2"/>
        <v>-9.3950410522436467E-4</v>
      </c>
      <c r="E65" s="261">
        <f t="shared" si="3"/>
        <v>-8.5029940119760505E-2</v>
      </c>
    </row>
    <row r="66" spans="1:5" x14ac:dyDescent="0.2">
      <c r="A66" s="258">
        <v>45169</v>
      </c>
      <c r="B66" s="259">
        <v>1224.05</v>
      </c>
      <c r="C66" s="260">
        <v>83500</v>
      </c>
      <c r="D66" s="261">
        <f t="shared" si="2"/>
        <v>6.0564051466446944E-2</v>
      </c>
      <c r="E66" s="261">
        <f t="shared" si="3"/>
        <v>-6.1797752808988804E-2</v>
      </c>
    </row>
    <row r="67" spans="1:5" x14ac:dyDescent="0.2">
      <c r="A67" s="258">
        <v>45199</v>
      </c>
      <c r="B67" s="259">
        <v>1154.1500000000001</v>
      </c>
      <c r="C67" s="260">
        <v>89000</v>
      </c>
      <c r="D67" s="261" t="e">
        <f t="shared" si="2"/>
        <v>#DIV/0!</v>
      </c>
      <c r="E67" s="261" t="e">
        <f t="shared" si="3"/>
        <v>#DIV/0!</v>
      </c>
    </row>
  </sheetData>
  <autoFilter ref="A1:E67" xr:uid="{64B46DC8-10AC-394F-B63C-9B05291FCE7F}">
    <sortState xmlns:xlrd2="http://schemas.microsoft.com/office/spreadsheetml/2017/richdata2" ref="A2:E67">
      <sortCondition ref="A1:A67"/>
    </sortState>
  </autoFilter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1BB5-1E82-DA4B-91B7-2D0CACBFDFE4}">
  <dimension ref="A1:AG67"/>
  <sheetViews>
    <sheetView topLeftCell="H6" zoomScale="87" workbookViewId="0">
      <selection activeCell="O30" sqref="O30:T31"/>
    </sheetView>
  </sheetViews>
  <sheetFormatPr baseColWidth="10" defaultRowHeight="15" x14ac:dyDescent="0.2"/>
  <cols>
    <col min="1" max="1" width="15.83203125" customWidth="1"/>
    <col min="2" max="2" width="31.6640625" customWidth="1"/>
    <col min="3" max="3" width="11.6640625" bestFit="1" customWidth="1"/>
    <col min="4" max="4" width="23.1640625" customWidth="1"/>
    <col min="5" max="5" width="11.6640625" bestFit="1" customWidth="1"/>
    <col min="8" max="8" width="22" customWidth="1"/>
    <col min="9" max="9" width="15.6640625" customWidth="1"/>
    <col min="10" max="10" width="13" customWidth="1"/>
    <col min="11" max="11" width="13.83203125" customWidth="1"/>
    <col min="13" max="13" width="13.83203125" customWidth="1"/>
    <col min="15" max="15" width="22.1640625" customWidth="1"/>
  </cols>
  <sheetData>
    <row r="1" spans="1:33" x14ac:dyDescent="0.2">
      <c r="A1" s="471" t="s">
        <v>705</v>
      </c>
      <c r="B1" s="471" t="s">
        <v>653</v>
      </c>
      <c r="C1" s="471" t="s">
        <v>703</v>
      </c>
      <c r="D1" s="471" t="s">
        <v>706</v>
      </c>
    </row>
    <row r="2" spans="1:33" x14ac:dyDescent="0.2">
      <c r="A2" s="472"/>
      <c r="B2" s="472"/>
      <c r="C2" s="472"/>
      <c r="D2" s="472"/>
    </row>
    <row r="3" spans="1:33" x14ac:dyDescent="0.2">
      <c r="A3" s="157" t="s">
        <v>659</v>
      </c>
      <c r="B3" s="157" t="s">
        <v>660</v>
      </c>
      <c r="C3" s="157" t="s">
        <v>704</v>
      </c>
      <c r="D3" s="158">
        <v>13742897461822.4</v>
      </c>
    </row>
    <row r="4" spans="1:33" x14ac:dyDescent="0.2">
      <c r="A4" s="157" t="s">
        <v>662</v>
      </c>
      <c r="B4" s="157" t="s">
        <v>663</v>
      </c>
      <c r="C4" s="157" t="s">
        <v>704</v>
      </c>
      <c r="D4" s="158">
        <v>62157022021978.797</v>
      </c>
    </row>
    <row r="5" spans="1:33" x14ac:dyDescent="0.2">
      <c r="A5" s="157" t="s">
        <v>664</v>
      </c>
      <c r="B5" s="157" t="s">
        <v>651</v>
      </c>
      <c r="C5" s="157" t="s">
        <v>704</v>
      </c>
      <c r="D5" s="158">
        <v>8868143987266.5703</v>
      </c>
    </row>
    <row r="6" spans="1:33" x14ac:dyDescent="0.2">
      <c r="A6" s="157" t="s">
        <v>666</v>
      </c>
      <c r="B6" s="157" t="s">
        <v>667</v>
      </c>
      <c r="C6" s="157" t="s">
        <v>704</v>
      </c>
      <c r="D6" s="158">
        <v>2890940961815.1602</v>
      </c>
      <c r="F6" s="159"/>
    </row>
    <row r="7" spans="1:33" x14ac:dyDescent="0.2">
      <c r="A7" s="143"/>
      <c r="B7" s="143"/>
      <c r="C7" s="143"/>
      <c r="D7" s="144"/>
    </row>
    <row r="9" spans="1:33" x14ac:dyDescent="0.2">
      <c r="A9" s="474" t="s">
        <v>710</v>
      </c>
      <c r="B9" s="474"/>
      <c r="C9" s="474"/>
      <c r="D9" s="474"/>
      <c r="E9" s="474"/>
      <c r="F9" s="474"/>
      <c r="H9" s="474" t="s">
        <v>711</v>
      </c>
      <c r="I9" s="474"/>
      <c r="J9" s="474"/>
      <c r="K9" s="474"/>
      <c r="L9" s="474"/>
      <c r="M9" s="474"/>
      <c r="O9" s="474" t="s">
        <v>718</v>
      </c>
      <c r="P9" s="474"/>
      <c r="Q9" s="474"/>
      <c r="R9" s="474"/>
      <c r="S9" s="474"/>
      <c r="T9" s="474"/>
    </row>
    <row r="10" spans="1:33" x14ac:dyDescent="0.2">
      <c r="A10" s="134"/>
      <c r="B10" s="134">
        <v>2018</v>
      </c>
      <c r="C10" s="157">
        <v>2019</v>
      </c>
      <c r="D10" s="161">
        <v>2020</v>
      </c>
      <c r="E10" s="134">
        <v>2021</v>
      </c>
      <c r="F10" s="134">
        <v>2022</v>
      </c>
      <c r="H10" s="134"/>
      <c r="I10" s="134">
        <v>2018</v>
      </c>
      <c r="J10" s="157">
        <v>2019</v>
      </c>
      <c r="K10" s="161">
        <v>2020</v>
      </c>
      <c r="L10" s="134">
        <v>2021</v>
      </c>
      <c r="M10" s="134">
        <v>2022</v>
      </c>
      <c r="O10" s="134"/>
      <c r="P10" s="134">
        <v>2018</v>
      </c>
      <c r="Q10" s="157">
        <v>2019</v>
      </c>
      <c r="R10" s="161">
        <v>2020</v>
      </c>
      <c r="S10" s="134">
        <v>2021</v>
      </c>
      <c r="T10" s="134">
        <v>2022</v>
      </c>
      <c r="V10" t="s">
        <v>717</v>
      </c>
    </row>
    <row r="11" spans="1:33" x14ac:dyDescent="0.2">
      <c r="A11" s="473" t="s">
        <v>707</v>
      </c>
      <c r="B11" s="473"/>
      <c r="C11" s="473"/>
      <c r="D11" s="473"/>
      <c r="E11" s="473"/>
      <c r="F11" s="473"/>
      <c r="H11" s="473" t="s">
        <v>707</v>
      </c>
      <c r="I11" s="473"/>
      <c r="J11" s="473"/>
      <c r="K11" s="473"/>
      <c r="L11" s="473"/>
      <c r="M11" s="473"/>
      <c r="O11" s="473" t="s">
        <v>707</v>
      </c>
      <c r="P11" s="473"/>
      <c r="Q11" s="473"/>
      <c r="R11" s="473"/>
      <c r="S11" s="473"/>
      <c r="T11" s="473"/>
      <c r="V11">
        <v>173211</v>
      </c>
      <c r="W11">
        <v>100216</v>
      </c>
      <c r="X11">
        <v>198672</v>
      </c>
      <c r="Y11">
        <v>391431</v>
      </c>
      <c r="Z11">
        <v>212926</v>
      </c>
      <c r="AA11" s="470"/>
      <c r="AB11">
        <v>2017</v>
      </c>
      <c r="AC11">
        <f>AC17</f>
        <v>2018</v>
      </c>
      <c r="AD11">
        <f>AD17</f>
        <v>2019</v>
      </c>
      <c r="AE11">
        <f>AE17</f>
        <v>2020</v>
      </c>
      <c r="AF11">
        <f>AF17</f>
        <v>2021</v>
      </c>
      <c r="AG11">
        <f>AG17</f>
        <v>2022</v>
      </c>
    </row>
    <row r="12" spans="1:33" x14ac:dyDescent="0.2">
      <c r="A12" s="160" t="s">
        <v>509</v>
      </c>
      <c r="B12" s="162">
        <v>6.2E-2</v>
      </c>
      <c r="C12" s="162">
        <v>6.5000000000000002E-2</v>
      </c>
      <c r="D12" s="162">
        <v>6.4000000000000001E-2</v>
      </c>
      <c r="E12" s="162">
        <v>7.1999999999999995E-2</v>
      </c>
      <c r="F12" s="162">
        <v>7.4999999999999997E-2</v>
      </c>
      <c r="H12" s="166" t="s">
        <v>712</v>
      </c>
      <c r="I12" s="167">
        <v>10.1</v>
      </c>
      <c r="J12" s="167">
        <v>12.3</v>
      </c>
      <c r="K12" s="167">
        <v>13.8</v>
      </c>
      <c r="L12" s="167">
        <v>14.4</v>
      </c>
      <c r="M12" s="167">
        <v>12.9</v>
      </c>
      <c r="O12" s="166" t="s">
        <v>719</v>
      </c>
      <c r="P12" s="167">
        <v>1.46</v>
      </c>
      <c r="Q12" s="167">
        <v>1.55</v>
      </c>
      <c r="R12" s="167">
        <v>1.5</v>
      </c>
      <c r="S12" s="167">
        <v>1.32</v>
      </c>
      <c r="T12" s="167">
        <v>1.49</v>
      </c>
      <c r="V12">
        <v>93376</v>
      </c>
      <c r="W12">
        <v>67681</v>
      </c>
      <c r="X12">
        <v>76420</v>
      </c>
      <c r="Y12">
        <v>81065</v>
      </c>
      <c r="Z12">
        <v>175767</v>
      </c>
      <c r="AA12" s="470"/>
      <c r="AB12">
        <v>3.8210000000000002</v>
      </c>
      <c r="AC12">
        <v>5.9370000000000003</v>
      </c>
      <c r="AD12">
        <v>8.4879999999999995</v>
      </c>
      <c r="AE12">
        <v>12.536</v>
      </c>
      <c r="AF12">
        <v>20.922999999999998</v>
      </c>
      <c r="AG12">
        <v>22.027999999999999</v>
      </c>
    </row>
    <row r="13" spans="1:33" x14ac:dyDescent="0.2">
      <c r="A13" s="160" t="s">
        <v>513</v>
      </c>
      <c r="B13" s="162">
        <v>2.3E-2</v>
      </c>
      <c r="C13" s="162">
        <v>2.5000000000000001E-2</v>
      </c>
      <c r="D13" s="162">
        <v>2.5999999999999999E-2</v>
      </c>
      <c r="E13" s="162">
        <v>3.9E-2</v>
      </c>
      <c r="F13" s="162">
        <v>3.9E-2</v>
      </c>
      <c r="H13" s="166" t="s">
        <v>713</v>
      </c>
      <c r="I13" s="171">
        <f>A40</f>
        <v>10.85275935688121</v>
      </c>
      <c r="J13" s="171">
        <f t="shared" ref="J13:M13" si="0">B40</f>
        <v>12.120099096140391</v>
      </c>
      <c r="K13" s="171">
        <f t="shared" si="0"/>
        <v>13.316377194939291</v>
      </c>
      <c r="L13" s="171">
        <f t="shared" si="0"/>
        <v>7.3556465629983379</v>
      </c>
      <c r="M13" s="171">
        <f t="shared" si="0"/>
        <v>18.199038996167385</v>
      </c>
      <c r="O13" s="166" t="s">
        <v>745</v>
      </c>
      <c r="P13" s="180">
        <v>0.55000000000000004</v>
      </c>
      <c r="Q13" s="180">
        <v>0.56999999999999995</v>
      </c>
      <c r="R13" s="180">
        <v>1.07</v>
      </c>
      <c r="S13" s="180">
        <v>0.71</v>
      </c>
      <c r="T13" s="180">
        <v>0.65</v>
      </c>
      <c r="V13">
        <f>V11/V12</f>
        <v>1.8549841501028101</v>
      </c>
      <c r="W13">
        <f t="shared" ref="W13:Z13" si="1">W11/W12</f>
        <v>1.4807109824027422</v>
      </c>
      <c r="X13">
        <f t="shared" si="1"/>
        <v>2.5997382884061766</v>
      </c>
      <c r="Y13">
        <f t="shared" si="1"/>
        <v>4.8286066736569415</v>
      </c>
      <c r="Z13">
        <f t="shared" si="1"/>
        <v>1.2114105605716659</v>
      </c>
      <c r="AA13" s="470"/>
      <c r="AB13" t="s">
        <v>746</v>
      </c>
      <c r="AC13" s="68">
        <f>(AC12-AB12)/AB12</f>
        <v>0.55378173253075114</v>
      </c>
      <c r="AD13" s="68">
        <f t="shared" ref="AD13" si="2">(AD12-AC12)/AC12</f>
        <v>0.42967828869799546</v>
      </c>
      <c r="AE13" s="68">
        <f t="shared" ref="AE13" si="3">(AE12-AD12)/AD12</f>
        <v>0.47690857681432614</v>
      </c>
      <c r="AF13" s="68">
        <f t="shared" ref="AF13" si="4">(AF12-AE12)/AE12</f>
        <v>0.66903318442884485</v>
      </c>
      <c r="AG13" s="68">
        <f t="shared" ref="AG13" si="5">(AG12-AF12)/AF12</f>
        <v>5.2812694164316804E-2</v>
      </c>
    </row>
    <row r="14" spans="1:33" x14ac:dyDescent="0.2">
      <c r="A14" s="160" t="s">
        <v>519</v>
      </c>
      <c r="B14" s="162">
        <v>1.7999999999999999E-2</v>
      </c>
      <c r="C14" s="162">
        <v>1.9E-2</v>
      </c>
      <c r="D14" s="162">
        <v>2.1000000000000001E-2</v>
      </c>
      <c r="E14" s="162">
        <v>3.1E-2</v>
      </c>
      <c r="F14" s="162">
        <v>3.1E-2</v>
      </c>
      <c r="H14" s="166" t="s">
        <v>714</v>
      </c>
      <c r="I14" s="167">
        <v>5.0999999999999996</v>
      </c>
      <c r="J14" s="167">
        <v>5.7</v>
      </c>
      <c r="K14" s="167">
        <v>10.3</v>
      </c>
      <c r="L14" s="167">
        <v>10.5</v>
      </c>
      <c r="M14" s="167">
        <v>6.6</v>
      </c>
      <c r="O14" s="166" t="s">
        <v>720</v>
      </c>
      <c r="P14" s="171">
        <v>2.9</v>
      </c>
      <c r="Q14" s="171">
        <v>2.61</v>
      </c>
      <c r="R14" s="171">
        <v>2.65</v>
      </c>
      <c r="S14" s="171">
        <v>3.68</v>
      </c>
      <c r="T14" s="171">
        <v>2.65</v>
      </c>
    </row>
    <row r="15" spans="1:33" x14ac:dyDescent="0.2">
      <c r="A15" s="467" t="s">
        <v>708</v>
      </c>
      <c r="B15" s="468"/>
      <c r="C15" s="468"/>
      <c r="D15" s="468"/>
      <c r="E15" s="468"/>
      <c r="F15" s="469"/>
      <c r="H15" s="166" t="s">
        <v>565</v>
      </c>
      <c r="I15" s="167">
        <v>241.28</v>
      </c>
      <c r="J15" s="167">
        <v>398.35</v>
      </c>
      <c r="K15" s="167">
        <v>531.29999999999995</v>
      </c>
      <c r="L15" s="167">
        <v>678.23</v>
      </c>
      <c r="M15" s="167">
        <v>660.47</v>
      </c>
      <c r="O15" s="166" t="s">
        <v>721</v>
      </c>
      <c r="P15" s="167">
        <v>1.0900000000000001</v>
      </c>
      <c r="Q15" s="167">
        <v>0.67</v>
      </c>
      <c r="R15" s="167">
        <v>0.54</v>
      </c>
      <c r="S15" s="167">
        <v>0.63</v>
      </c>
      <c r="T15" s="167">
        <v>0.82</v>
      </c>
    </row>
    <row r="16" spans="1:33" x14ac:dyDescent="0.2">
      <c r="A16" s="160" t="s">
        <v>509</v>
      </c>
      <c r="B16" s="163">
        <v>0.17699999999999999</v>
      </c>
      <c r="C16" s="163">
        <v>0.191</v>
      </c>
      <c r="D16" s="163">
        <v>0.221</v>
      </c>
      <c r="E16" s="163">
        <v>0.22500000000000001</v>
      </c>
      <c r="F16" s="163">
        <v>0.23100000000000001</v>
      </c>
      <c r="H16" s="466" t="s">
        <v>708</v>
      </c>
      <c r="I16" s="466"/>
      <c r="J16" s="466"/>
      <c r="K16" s="466"/>
      <c r="L16" s="466"/>
      <c r="M16" s="466"/>
      <c r="O16" s="166" t="s">
        <v>722</v>
      </c>
      <c r="P16" s="167">
        <f>V13</f>
        <v>1.8549841501028101</v>
      </c>
      <c r="Q16" s="167">
        <f t="shared" ref="Q16:T16" si="6">W13</f>
        <v>1.4807109824027422</v>
      </c>
      <c r="R16" s="167">
        <f t="shared" si="6"/>
        <v>2.5997382884061766</v>
      </c>
      <c r="S16" s="167">
        <f t="shared" si="6"/>
        <v>4.8286066736569415</v>
      </c>
      <c r="T16" s="167">
        <f t="shared" si="6"/>
        <v>1.2114105605716659</v>
      </c>
      <c r="V16" t="s">
        <v>708</v>
      </c>
    </row>
    <row r="17" spans="1:33" x14ac:dyDescent="0.2">
      <c r="A17" s="160" t="s">
        <v>513</v>
      </c>
      <c r="B17" s="163">
        <v>4.3999999999999997E-2</v>
      </c>
      <c r="C17" s="163">
        <v>4.9000000000000002E-2</v>
      </c>
      <c r="D17" s="163">
        <v>0.05</v>
      </c>
      <c r="E17" s="163">
        <v>5.2999999999999999E-2</v>
      </c>
      <c r="F17" s="163">
        <v>4.9000000000000002E-2</v>
      </c>
      <c r="H17" s="166" t="s">
        <v>712</v>
      </c>
      <c r="I17" s="169">
        <v>36.299999999999997</v>
      </c>
      <c r="J17" s="169">
        <v>49.2</v>
      </c>
      <c r="K17" s="169">
        <v>54.7</v>
      </c>
      <c r="L17" s="169">
        <v>48.3</v>
      </c>
      <c r="M17" s="169">
        <v>42.8</v>
      </c>
      <c r="O17" s="466" t="s">
        <v>708</v>
      </c>
      <c r="P17" s="466"/>
      <c r="Q17" s="466"/>
      <c r="R17" s="466"/>
      <c r="S17" s="466"/>
      <c r="T17" s="466"/>
      <c r="V17">
        <v>3774182</v>
      </c>
      <c r="W17">
        <v>5034683</v>
      </c>
      <c r="X17">
        <v>5412530</v>
      </c>
      <c r="Y17">
        <v>6465607</v>
      </c>
      <c r="Z17">
        <v>6574694</v>
      </c>
      <c r="AA17" s="470"/>
      <c r="AB17">
        <v>2017</v>
      </c>
      <c r="AC17">
        <f>AC22</f>
        <v>2018</v>
      </c>
      <c r="AD17">
        <f>AD22</f>
        <v>2019</v>
      </c>
      <c r="AE17">
        <f>AE22</f>
        <v>2020</v>
      </c>
      <c r="AF17">
        <f>AF22</f>
        <v>2021</v>
      </c>
      <c r="AG17">
        <f>AG22</f>
        <v>2022</v>
      </c>
    </row>
    <row r="18" spans="1:33" x14ac:dyDescent="0.2">
      <c r="A18" s="160" t="s">
        <v>519</v>
      </c>
      <c r="B18" s="163">
        <v>3.3000000000000002E-2</v>
      </c>
      <c r="C18" s="163">
        <v>3.7999999999999999E-2</v>
      </c>
      <c r="D18" s="163">
        <v>3.5999999999999997E-2</v>
      </c>
      <c r="E18" s="163">
        <v>0.04</v>
      </c>
      <c r="F18" s="163">
        <v>3.1E-2</v>
      </c>
      <c r="H18" s="166" t="s">
        <v>713</v>
      </c>
      <c r="I18" s="165">
        <f>A35</f>
        <v>10.493673445476041</v>
      </c>
      <c r="J18" s="165">
        <f t="shared" ref="J18:M18" si="7">B35</f>
        <v>8.4754028179108332</v>
      </c>
      <c r="K18" s="165">
        <f t="shared" si="7"/>
        <v>12.436287610837967</v>
      </c>
      <c r="L18" s="165">
        <f t="shared" si="7"/>
        <v>10.095269083377977</v>
      </c>
      <c r="M18" s="165">
        <f t="shared" si="7"/>
        <v>15.253534971592737</v>
      </c>
      <c r="O18" s="166" t="s">
        <v>719</v>
      </c>
      <c r="P18" s="169">
        <v>1.3</v>
      </c>
      <c r="Q18" s="169">
        <v>1.23</v>
      </c>
      <c r="R18" s="169">
        <v>1.27</v>
      </c>
      <c r="S18" s="169">
        <v>1.22</v>
      </c>
      <c r="T18" s="169">
        <v>1.71</v>
      </c>
      <c r="V18">
        <v>436417</v>
      </c>
      <c r="W18">
        <v>568137</v>
      </c>
      <c r="X18">
        <v>594004</v>
      </c>
      <c r="Y18">
        <v>674428</v>
      </c>
      <c r="Z18">
        <v>1362144</v>
      </c>
      <c r="AA18" s="470"/>
      <c r="AB18">
        <v>66.34</v>
      </c>
      <c r="AC18">
        <v>86.516000000000005</v>
      </c>
      <c r="AD18">
        <v>102.17400000000001</v>
      </c>
      <c r="AE18">
        <v>108.54600000000001</v>
      </c>
      <c r="AF18">
        <v>122.958</v>
      </c>
      <c r="AG18">
        <v>133.405</v>
      </c>
    </row>
    <row r="19" spans="1:33" x14ac:dyDescent="0.2">
      <c r="A19" s="467" t="s">
        <v>709</v>
      </c>
      <c r="B19" s="468"/>
      <c r="C19" s="468"/>
      <c r="D19" s="468"/>
      <c r="E19" s="468"/>
      <c r="F19" s="469"/>
      <c r="H19" s="166" t="s">
        <v>714</v>
      </c>
      <c r="I19" s="169">
        <v>4.8</v>
      </c>
      <c r="J19" s="169">
        <v>3.8</v>
      </c>
      <c r="K19" s="169">
        <v>3.7</v>
      </c>
      <c r="L19" s="169">
        <v>3.9</v>
      </c>
      <c r="M19" s="169">
        <v>3.7</v>
      </c>
      <c r="O19" s="166" t="s">
        <v>745</v>
      </c>
      <c r="P19" s="180">
        <v>0.33</v>
      </c>
      <c r="Q19" s="180">
        <v>0.33</v>
      </c>
      <c r="R19" s="180">
        <v>0.61</v>
      </c>
      <c r="S19" s="180">
        <v>0.54</v>
      </c>
      <c r="T19" s="180">
        <v>0.73</v>
      </c>
      <c r="V19" s="168">
        <f>V17/V18</f>
        <v>8.6481094916100893</v>
      </c>
      <c r="W19" s="168">
        <f t="shared" ref="W19:Z19" si="8">W17/W18</f>
        <v>8.8617410941375052</v>
      </c>
      <c r="X19" s="168">
        <f t="shared" si="8"/>
        <v>9.1119420071245312</v>
      </c>
      <c r="Y19" s="168">
        <f t="shared" si="8"/>
        <v>9.5868009631865814</v>
      </c>
      <c r="Z19" s="168">
        <f t="shared" si="8"/>
        <v>4.8267246341062329</v>
      </c>
      <c r="AA19" s="470"/>
      <c r="AB19" t="s">
        <v>746</v>
      </c>
      <c r="AC19" s="68">
        <f>(AC18-AB18)/AB18</f>
        <v>0.3041302381670184</v>
      </c>
      <c r="AD19" s="68">
        <f t="shared" ref="AD19" si="9">(AD18-AC18)/AC18</f>
        <v>0.18098386425632254</v>
      </c>
      <c r="AE19" s="68">
        <f t="shared" ref="AE19" si="10">(AE18-AD18)/AD18</f>
        <v>6.2364202243232129E-2</v>
      </c>
      <c r="AF19" s="68">
        <f t="shared" ref="AF19" si="11">(AF18-AE18)/AE18</f>
        <v>0.13277320214471275</v>
      </c>
      <c r="AG19" s="68">
        <f t="shared" ref="AG19" si="12">(AG18-AF18)/AF18</f>
        <v>8.4963971437401406E-2</v>
      </c>
    </row>
    <row r="20" spans="1:33" x14ac:dyDescent="0.2">
      <c r="A20" s="164" t="s">
        <v>509</v>
      </c>
      <c r="B20" s="163">
        <v>0.06</v>
      </c>
      <c r="C20" s="163">
        <v>6.0999999999999999E-2</v>
      </c>
      <c r="D20" s="163">
        <v>0.05</v>
      </c>
      <c r="E20" s="163">
        <v>5.2999999999999999E-2</v>
      </c>
      <c r="F20" s="163">
        <v>5.5E-2</v>
      </c>
      <c r="H20" s="166" t="s">
        <v>565</v>
      </c>
      <c r="I20" s="172">
        <v>24.6</v>
      </c>
      <c r="J20" s="172">
        <v>22.64</v>
      </c>
      <c r="K20" s="172">
        <v>16.88</v>
      </c>
      <c r="L20" s="172">
        <v>14.43</v>
      </c>
      <c r="M20" s="172">
        <v>13.74</v>
      </c>
      <c r="O20" s="166" t="s">
        <v>720</v>
      </c>
      <c r="P20" s="165">
        <v>3.13</v>
      </c>
      <c r="Q20" s="165">
        <v>3.44</v>
      </c>
      <c r="R20" s="165">
        <v>2.98</v>
      </c>
      <c r="S20" s="165">
        <v>3.09</v>
      </c>
      <c r="T20" s="165">
        <v>2.33</v>
      </c>
    </row>
    <row r="21" spans="1:33" x14ac:dyDescent="0.2">
      <c r="A21" s="164" t="s">
        <v>513</v>
      </c>
      <c r="B21" s="163">
        <v>1.6E-2</v>
      </c>
      <c r="C21" s="163">
        <v>0.01</v>
      </c>
      <c r="D21" s="163">
        <v>1.4999999999999999E-2</v>
      </c>
      <c r="E21" s="163">
        <v>2.3E-2</v>
      </c>
      <c r="F21" s="163">
        <v>1.2E-2</v>
      </c>
      <c r="H21" s="466" t="s">
        <v>709</v>
      </c>
      <c r="I21" s="466"/>
      <c r="J21" s="466"/>
      <c r="K21" s="466"/>
      <c r="L21" s="466"/>
      <c r="M21" s="466"/>
      <c r="O21" s="166" t="s">
        <v>721</v>
      </c>
      <c r="P21" s="169">
        <v>0.78</v>
      </c>
      <c r="Q21" s="169">
        <v>1.17</v>
      </c>
      <c r="R21" s="169">
        <v>1.08</v>
      </c>
      <c r="S21" s="169">
        <v>1.21</v>
      </c>
      <c r="T21" s="169">
        <v>0.69</v>
      </c>
      <c r="V21" t="s">
        <v>709</v>
      </c>
    </row>
    <row r="22" spans="1:33" x14ac:dyDescent="0.2">
      <c r="A22" s="164" t="s">
        <v>519</v>
      </c>
      <c r="B22" s="163">
        <v>1.2E-2</v>
      </c>
      <c r="C22" s="163">
        <v>1.2999999999999999E-2</v>
      </c>
      <c r="D22" s="163">
        <v>0.01</v>
      </c>
      <c r="E22" s="163">
        <v>1.7999999999999999E-2</v>
      </c>
      <c r="F22" s="163">
        <v>0.01</v>
      </c>
      <c r="H22" s="166" t="s">
        <v>712</v>
      </c>
      <c r="I22" s="169">
        <v>5.2</v>
      </c>
      <c r="J22" s="169">
        <v>5.6</v>
      </c>
      <c r="K22" s="169">
        <v>8.1</v>
      </c>
      <c r="L22" s="169">
        <v>8.1</v>
      </c>
      <c r="M22" s="169">
        <v>7.3</v>
      </c>
      <c r="O22" s="166" t="s">
        <v>722</v>
      </c>
      <c r="P22" s="172">
        <f>V19</f>
        <v>8.6481094916100893</v>
      </c>
      <c r="Q22" s="172">
        <f t="shared" ref="Q22:T22" si="13">W19</f>
        <v>8.8617410941375052</v>
      </c>
      <c r="R22" s="172">
        <f t="shared" si="13"/>
        <v>9.1119420071245312</v>
      </c>
      <c r="S22" s="172">
        <f t="shared" si="13"/>
        <v>9.5868009631865814</v>
      </c>
      <c r="T22" s="172">
        <f t="shared" si="13"/>
        <v>4.8267246341062329</v>
      </c>
      <c r="V22">
        <v>173211</v>
      </c>
      <c r="W22">
        <v>100216</v>
      </c>
      <c r="X22">
        <v>198672</v>
      </c>
      <c r="Y22">
        <v>391431</v>
      </c>
      <c r="Z22">
        <v>212926</v>
      </c>
      <c r="AA22" s="470"/>
      <c r="AB22">
        <v>2017</v>
      </c>
      <c r="AC22">
        <f>P10</f>
        <v>2018</v>
      </c>
      <c r="AD22">
        <f>Q10</f>
        <v>2019</v>
      </c>
      <c r="AE22">
        <f>R10</f>
        <v>2020</v>
      </c>
      <c r="AF22">
        <f>S10</f>
        <v>2021</v>
      </c>
      <c r="AG22">
        <f>T10</f>
        <v>2022</v>
      </c>
    </row>
    <row r="23" spans="1:33" x14ac:dyDescent="0.2">
      <c r="A23" s="467" t="s">
        <v>715</v>
      </c>
      <c r="B23" s="468"/>
      <c r="C23" s="468"/>
      <c r="D23" s="468"/>
      <c r="E23" s="468"/>
      <c r="F23" s="469"/>
      <c r="H23" s="166" t="s">
        <v>713</v>
      </c>
      <c r="I23" s="165">
        <f>A44</f>
        <v>7.7669734856574664</v>
      </c>
      <c r="J23" s="165">
        <f t="shared" ref="J23:M23" si="14">B44</f>
        <v>7.664312910458734</v>
      </c>
      <c r="K23" s="165">
        <f t="shared" si="14"/>
        <v>9.9440231266510857</v>
      </c>
      <c r="L23" s="165">
        <f t="shared" si="14"/>
        <v>7.8523949971666083</v>
      </c>
      <c r="M23" s="165">
        <f t="shared" si="14"/>
        <v>10.041022456379334</v>
      </c>
      <c r="O23" s="466" t="s">
        <v>709</v>
      </c>
      <c r="P23" s="466"/>
      <c r="Q23" s="466"/>
      <c r="R23" s="466"/>
      <c r="S23" s="466"/>
      <c r="T23" s="466"/>
      <c r="V23">
        <v>93376</v>
      </c>
      <c r="W23">
        <v>67681</v>
      </c>
      <c r="X23">
        <v>76420</v>
      </c>
      <c r="Y23">
        <v>81065</v>
      </c>
      <c r="Z23">
        <v>175767</v>
      </c>
      <c r="AA23" s="470"/>
      <c r="AB23">
        <v>10.702999999999999</v>
      </c>
      <c r="AC23">
        <v>11.092000000000001</v>
      </c>
      <c r="AD23">
        <v>10.007999999999999</v>
      </c>
      <c r="AE23">
        <v>13.452999999999999</v>
      </c>
      <c r="AF23">
        <v>17.597999999999999</v>
      </c>
      <c r="AG23">
        <v>17.542999999999999</v>
      </c>
    </row>
    <row r="24" spans="1:33" x14ac:dyDescent="0.2">
      <c r="A24" s="164" t="s">
        <v>509</v>
      </c>
      <c r="B24" s="163">
        <f>'Key financial ratios'!E18</f>
        <v>0.13358381810831049</v>
      </c>
      <c r="C24" s="163">
        <f>'Key financial ratios'!F18</f>
        <v>0.12691247303708797</v>
      </c>
      <c r="D24" s="163">
        <f>'Key financial ratios'!G18</f>
        <v>0.13920905462275576</v>
      </c>
      <c r="E24" s="163">
        <f>'Key financial ratios'!H18</f>
        <v>0.14009862030878828</v>
      </c>
      <c r="F24" s="163">
        <f>'Key financial ratios'!I18</f>
        <v>0.15591092707931078</v>
      </c>
      <c r="H24" s="166" t="s">
        <v>714</v>
      </c>
      <c r="I24" s="165">
        <v>11.7</v>
      </c>
      <c r="J24" s="165">
        <v>8.8000000000000007</v>
      </c>
      <c r="K24" s="165">
        <v>13.4</v>
      </c>
      <c r="L24" s="165">
        <v>14.9</v>
      </c>
      <c r="M24" s="165">
        <v>8.6</v>
      </c>
      <c r="O24" s="166" t="s">
        <v>719</v>
      </c>
      <c r="P24" s="169">
        <v>1.22</v>
      </c>
      <c r="Q24" s="169">
        <v>1.24</v>
      </c>
      <c r="R24" s="169">
        <v>1.1599999999999999</v>
      </c>
      <c r="S24" s="169">
        <v>1.1200000000000001</v>
      </c>
      <c r="T24" s="169">
        <v>1.1299999999999999</v>
      </c>
      <c r="V24">
        <f>V22/V23</f>
        <v>1.8549841501028101</v>
      </c>
      <c r="W24">
        <f t="shared" ref="W24:Z24" si="15">W22/W23</f>
        <v>1.4807109824027422</v>
      </c>
      <c r="X24">
        <f t="shared" si="15"/>
        <v>2.5997382884061766</v>
      </c>
      <c r="Y24">
        <f t="shared" si="15"/>
        <v>4.8286066736569415</v>
      </c>
      <c r="Z24">
        <f t="shared" si="15"/>
        <v>1.2114105605716659</v>
      </c>
      <c r="AA24" s="470"/>
      <c r="AB24" t="s">
        <v>746</v>
      </c>
      <c r="AC24" s="68">
        <f>(AC23-AB23)/AB23</f>
        <v>3.6344950014014867E-2</v>
      </c>
      <c r="AD24" s="68">
        <f t="shared" ref="AD24:AG24" si="16">(AD23-AC23)/AC23</f>
        <v>-9.7728092318788443E-2</v>
      </c>
      <c r="AE24" s="68">
        <f t="shared" si="16"/>
        <v>0.34422462030375706</v>
      </c>
      <c r="AF24" s="68">
        <f t="shared" si="16"/>
        <v>0.30810971530513637</v>
      </c>
      <c r="AG24" s="68">
        <f t="shared" si="16"/>
        <v>-3.125355153994756E-3</v>
      </c>
    </row>
    <row r="25" spans="1:33" x14ac:dyDescent="0.2">
      <c r="A25" s="164" t="s">
        <v>513</v>
      </c>
      <c r="B25" s="163">
        <f>'Key financial ratios'!E20</f>
        <v>2.6328878273354585E-2</v>
      </c>
      <c r="C25" s="163">
        <f>'Key financial ratios'!F20</f>
        <v>1.6401566433970022E-2</v>
      </c>
      <c r="D25" s="163">
        <f>'Key financial ratios'!G20</f>
        <v>9.7664502687564228E-4</v>
      </c>
      <c r="E25" s="163">
        <f>'Key financial ratios'!H20</f>
        <v>2.4280815601325115E-2</v>
      </c>
      <c r="F25" s="163">
        <f>'Key financial ratios'!I20</f>
        <v>1.571209728526685E-2</v>
      </c>
      <c r="H25" s="166" t="s">
        <v>565</v>
      </c>
      <c r="I25" s="167">
        <v>67.23</v>
      </c>
      <c r="J25" s="167">
        <v>77.62</v>
      </c>
      <c r="K25" s="167">
        <v>105.6</v>
      </c>
      <c r="L25" s="167">
        <v>139.58000000000001</v>
      </c>
      <c r="M25" s="167">
        <v>132.04</v>
      </c>
      <c r="O25" s="166" t="s">
        <v>745</v>
      </c>
      <c r="P25" s="172">
        <v>0.93</v>
      </c>
      <c r="Q25" s="172">
        <v>0.86</v>
      </c>
      <c r="R25" s="172">
        <v>0.98</v>
      </c>
      <c r="S25" s="172">
        <v>0.9</v>
      </c>
      <c r="T25" s="172">
        <v>0.78</v>
      </c>
    </row>
    <row r="26" spans="1:33" x14ac:dyDescent="0.2">
      <c r="A26" s="164" t="s">
        <v>519</v>
      </c>
      <c r="B26" s="163">
        <f>'Key financial ratios'!E23</f>
        <v>2.3E-2</v>
      </c>
      <c r="C26" s="163">
        <f>'Key financial ratios'!F23</f>
        <v>1.2E-2</v>
      </c>
      <c r="D26" s="163">
        <f>'Key financial ratios'!G23</f>
        <v>1E-3</v>
      </c>
      <c r="E26" s="163">
        <f>'Key financial ratios'!H23</f>
        <v>0.02</v>
      </c>
      <c r="F26" s="163">
        <f>'Key financial ratios'!I23</f>
        <v>1.2999999999999999E-2</v>
      </c>
      <c r="H26" s="466" t="s">
        <v>716</v>
      </c>
      <c r="I26" s="466"/>
      <c r="J26" s="466"/>
      <c r="K26" s="466"/>
      <c r="L26" s="466"/>
      <c r="M26" s="466"/>
      <c r="O26" s="166" t="s">
        <v>720</v>
      </c>
      <c r="P26" s="165">
        <v>3.77</v>
      </c>
      <c r="Q26" s="165">
        <v>3.29</v>
      </c>
      <c r="R26" s="165">
        <v>4.0999999999999996</v>
      </c>
      <c r="S26" s="165">
        <v>4.68</v>
      </c>
      <c r="T26" s="165">
        <v>4.67</v>
      </c>
    </row>
    <row r="27" spans="1:33" x14ac:dyDescent="0.2">
      <c r="A27" s="467" t="s">
        <v>734</v>
      </c>
      <c r="B27" s="468"/>
      <c r="C27" s="468"/>
      <c r="D27" s="468"/>
      <c r="E27" s="468"/>
      <c r="F27" s="469"/>
      <c r="H27" s="166" t="s">
        <v>712</v>
      </c>
      <c r="I27" s="169">
        <f>'Key financial ratios'!E45</f>
        <v>14.3</v>
      </c>
      <c r="J27" s="169">
        <f>'Key financial ratios'!F45</f>
        <v>14.3</v>
      </c>
      <c r="K27" s="169">
        <f>'Key financial ratios'!G45</f>
        <v>11.1</v>
      </c>
      <c r="L27" s="169">
        <f>'Key financial ratios'!H45</f>
        <v>13</v>
      </c>
      <c r="M27" s="169">
        <f>'Key financial ratios'!I45</f>
        <v>22.5</v>
      </c>
      <c r="O27" s="166" t="s">
        <v>721</v>
      </c>
      <c r="P27" s="165">
        <v>1.28</v>
      </c>
      <c r="Q27" s="165">
        <v>1.01</v>
      </c>
      <c r="R27" s="165">
        <v>1.76</v>
      </c>
      <c r="S27" s="165">
        <v>2.0099999999999998</v>
      </c>
      <c r="T27" s="165">
        <v>1.91</v>
      </c>
      <c r="V27" t="s">
        <v>747</v>
      </c>
      <c r="W27">
        <f>AC17</f>
        <v>2018</v>
      </c>
      <c r="X27">
        <f t="shared" ref="X27:AA27" si="17">AD17</f>
        <v>2019</v>
      </c>
      <c r="Y27">
        <f t="shared" si="17"/>
        <v>2020</v>
      </c>
      <c r="Z27">
        <f t="shared" si="17"/>
        <v>2021</v>
      </c>
      <c r="AA27">
        <f t="shared" si="17"/>
        <v>2022</v>
      </c>
    </row>
    <row r="28" spans="1:33" x14ac:dyDescent="0.2">
      <c r="A28" s="164" t="s">
        <v>509</v>
      </c>
      <c r="B28" s="163">
        <f>MEDIAN(B12,B16,B20,B24)</f>
        <v>9.7791909054155246E-2</v>
      </c>
      <c r="C28" s="163">
        <f t="shared" ref="C28:F28" si="18">MEDIAN(C12,C16,C20,C24)</f>
        <v>9.5956236518543986E-2</v>
      </c>
      <c r="D28" s="163">
        <f t="shared" si="18"/>
        <v>0.10160452731137788</v>
      </c>
      <c r="E28" s="163">
        <f t="shared" si="18"/>
        <v>0.10604931015439414</v>
      </c>
      <c r="F28" s="163">
        <f t="shared" si="18"/>
        <v>0.11545546353965538</v>
      </c>
      <c r="H28" s="166" t="s">
        <v>713</v>
      </c>
      <c r="I28" s="169">
        <f>'FPT Digital Retail JSC | Income'!E29/'FPT Digital Retail JSC | BS'!D74</f>
        <v>18.777270460637038</v>
      </c>
      <c r="J28" s="169">
        <f>'FPT Digital Retail JSC | Income'!F29/'FPT Digital Retail JSC | BS'!E74</f>
        <v>11.279731919143906</v>
      </c>
      <c r="K28" s="169">
        <f>'FPT Digital Retail JSC | Income'!G29/'FPT Digital Retail JSC | BS'!F74</f>
        <v>10.388968463685082</v>
      </c>
      <c r="L28" s="169">
        <f>'FPT Digital Retail JSC | Income'!H29/'FPT Digital Retail JSC | BS'!G74</f>
        <v>8.2814967228843237</v>
      </c>
      <c r="M28" s="169">
        <f>'FPT Digital Retail JSC | Income'!I29/'FPT Digital Retail JSC | BS'!H74</f>
        <v>11.035411527306579</v>
      </c>
      <c r="O28" s="166" t="s">
        <v>722</v>
      </c>
      <c r="P28" s="167">
        <f>V24</f>
        <v>1.8549841501028101</v>
      </c>
      <c r="Q28" s="167">
        <f t="shared" ref="Q28:T28" si="19">W24</f>
        <v>1.4807109824027422</v>
      </c>
      <c r="R28" s="167">
        <f t="shared" si="19"/>
        <v>2.5997382884061766</v>
      </c>
      <c r="S28" s="167">
        <f t="shared" si="19"/>
        <v>4.8286066736569415</v>
      </c>
      <c r="T28" s="167">
        <f t="shared" si="19"/>
        <v>1.2114105605716659</v>
      </c>
      <c r="V28" t="s">
        <v>715</v>
      </c>
      <c r="W28" s="147">
        <f>'Revenue breakdown'!B4</f>
        <v>0.16367988018117349</v>
      </c>
      <c r="X28" s="147">
        <f>'Revenue breakdown'!C4</f>
        <v>8.7305252499700128E-2</v>
      </c>
      <c r="Y28" s="147">
        <f>'Revenue breakdown'!D4</f>
        <v>-0.11858529177658236</v>
      </c>
      <c r="Z28" s="147">
        <f>'Revenue breakdown'!E4</f>
        <v>0.53429651445013804</v>
      </c>
      <c r="AA28" s="147">
        <f>'Revenue breakdown'!F4</f>
        <v>0.34100259164708041</v>
      </c>
    </row>
    <row r="29" spans="1:33" x14ac:dyDescent="0.2">
      <c r="A29" s="164" t="s">
        <v>513</v>
      </c>
      <c r="B29" s="163">
        <f>MEDIAN(B13,B17,B21,B25)</f>
        <v>2.4664439136677291E-2</v>
      </c>
      <c r="C29" s="163">
        <f t="shared" ref="C29:F29" si="20">MEDIAN(C13,C17,C21,C25)</f>
        <v>2.0700783216985014E-2</v>
      </c>
      <c r="D29" s="163">
        <f t="shared" si="20"/>
        <v>2.0499999999999997E-2</v>
      </c>
      <c r="E29" s="163">
        <f t="shared" si="20"/>
        <v>3.1640407800662559E-2</v>
      </c>
      <c r="F29" s="163">
        <f t="shared" si="20"/>
        <v>2.7356048642633427E-2</v>
      </c>
      <c r="H29" s="166" t="s">
        <v>714</v>
      </c>
      <c r="I29" s="169">
        <f>'Key financial ratios'!E48</f>
        <v>6.3</v>
      </c>
      <c r="J29" s="169">
        <f>'Key financial ratios'!F48</f>
        <v>4.9000000000000004</v>
      </c>
      <c r="K29" s="169">
        <f>'Key financial ratios'!G48</f>
        <v>4.8</v>
      </c>
      <c r="L29" s="169">
        <f>'Key financial ratios'!H48</f>
        <v>5.7</v>
      </c>
      <c r="M29" s="169">
        <f>'Key financial ratios'!I48</f>
        <v>4.5</v>
      </c>
      <c r="O29" s="466" t="s">
        <v>716</v>
      </c>
      <c r="P29" s="466"/>
      <c r="Q29" s="466"/>
      <c r="R29" s="466"/>
      <c r="S29" s="466"/>
      <c r="T29" s="466"/>
      <c r="V29" t="s">
        <v>708</v>
      </c>
      <c r="W29" s="147">
        <f>AC19</f>
        <v>0.3041302381670184</v>
      </c>
      <c r="X29" s="147">
        <f t="shared" ref="X29:AA29" si="21">AD19</f>
        <v>0.18098386425632254</v>
      </c>
      <c r="Y29" s="147">
        <f t="shared" si="21"/>
        <v>6.2364202243232129E-2</v>
      </c>
      <c r="Z29" s="147">
        <f t="shared" si="21"/>
        <v>0.13277320214471275</v>
      </c>
      <c r="AA29" s="147">
        <f t="shared" si="21"/>
        <v>8.4963971437401406E-2</v>
      </c>
    </row>
    <row r="30" spans="1:33" x14ac:dyDescent="0.2">
      <c r="A30" s="164" t="s">
        <v>519</v>
      </c>
      <c r="B30" s="163">
        <f>MEDIAN(B14,B18,B22,B26)</f>
        <v>2.0499999999999997E-2</v>
      </c>
      <c r="C30" s="163">
        <f t="shared" ref="C30:F30" si="22">MEDIAN(C14,C18,C22,C26)</f>
        <v>1.6E-2</v>
      </c>
      <c r="D30" s="163">
        <f t="shared" si="22"/>
        <v>1.55E-2</v>
      </c>
      <c r="E30" s="163">
        <f t="shared" si="22"/>
        <v>2.5500000000000002E-2</v>
      </c>
      <c r="F30" s="163">
        <f t="shared" si="22"/>
        <v>2.1999999999999999E-2</v>
      </c>
      <c r="H30" s="166" t="s">
        <v>565</v>
      </c>
      <c r="I30" s="170">
        <f>'Key financial ratios'!E51</f>
        <v>2875.09</v>
      </c>
      <c r="J30" s="170">
        <f>'Key financial ratios'!F51</f>
        <v>2826.83</v>
      </c>
      <c r="K30" s="170">
        <f>'Key financial ratios'!G51</f>
        <v>1913.67</v>
      </c>
      <c r="L30" s="170">
        <f>'Key financial ratios'!H51</f>
        <v>1789.13</v>
      </c>
      <c r="M30" s="170">
        <f>'Key financial ratios'!I51</f>
        <v>87.01</v>
      </c>
      <c r="O30" s="166" t="s">
        <v>719</v>
      </c>
      <c r="P30" s="169">
        <f>'Key financial ratios'!E36</f>
        <v>1.2</v>
      </c>
      <c r="Q30" s="169">
        <f>'Key financial ratios'!F36</f>
        <v>1.1599999999999999</v>
      </c>
      <c r="R30" s="169">
        <f>'Key financial ratios'!G36</f>
        <v>1.19</v>
      </c>
      <c r="S30" s="169">
        <f>'Key financial ratios'!H36</f>
        <v>1.1200000000000001</v>
      </c>
      <c r="T30" s="169">
        <f>'Key financial ratios'!I36</f>
        <v>1.1000000000000001</v>
      </c>
      <c r="V30" t="s">
        <v>748</v>
      </c>
      <c r="W30" s="147">
        <f>AC24</f>
        <v>3.6344950014014867E-2</v>
      </c>
      <c r="X30" s="147">
        <f t="shared" ref="X30:AA30" si="23">AD24</f>
        <v>-9.7728092318788443E-2</v>
      </c>
      <c r="Y30" s="147">
        <f t="shared" si="23"/>
        <v>0.34422462030375706</v>
      </c>
      <c r="Z30" s="147">
        <f t="shared" si="23"/>
        <v>0.30810971530513637</v>
      </c>
      <c r="AA30" s="147">
        <f t="shared" si="23"/>
        <v>-3.125355153994756E-3</v>
      </c>
    </row>
    <row r="31" spans="1:33" x14ac:dyDescent="0.2">
      <c r="H31" s="466" t="s">
        <v>669</v>
      </c>
      <c r="I31" s="466"/>
      <c r="J31" s="466"/>
      <c r="K31" s="466"/>
      <c r="L31" s="466"/>
      <c r="M31" s="466"/>
      <c r="O31" s="166" t="s">
        <v>745</v>
      </c>
      <c r="P31" s="172">
        <f>'Key financial ratios'!E35</f>
        <v>0.57999999999999996</v>
      </c>
      <c r="Q31" s="172">
        <f>'Key financial ratios'!F35</f>
        <v>0.53</v>
      </c>
      <c r="R31" s="172">
        <f>'Key financial ratios'!G35</f>
        <v>0.75</v>
      </c>
      <c r="S31" s="172">
        <f>'Key financial ratios'!H35</f>
        <v>0.57999999999999996</v>
      </c>
      <c r="T31" s="172">
        <f>'Key financial ratios'!I35</f>
        <v>0.34</v>
      </c>
      <c r="V31" t="s">
        <v>717</v>
      </c>
      <c r="W31" s="147">
        <f>AC13</f>
        <v>0.55378173253075114</v>
      </c>
      <c r="X31" s="147">
        <f>AD13</f>
        <v>0.42967828869799546</v>
      </c>
      <c r="Y31" s="147">
        <f>AE13</f>
        <v>0.47690857681432614</v>
      </c>
      <c r="Z31" s="147">
        <f>AF13</f>
        <v>0.66903318442884485</v>
      </c>
      <c r="AA31" s="147">
        <f>AG13</f>
        <v>5.2812694164316804E-2</v>
      </c>
    </row>
    <row r="32" spans="1:33" x14ac:dyDescent="0.2">
      <c r="A32" t="s">
        <v>708</v>
      </c>
      <c r="H32" s="166" t="s">
        <v>712</v>
      </c>
      <c r="I32" s="169">
        <f>MEDIAN(I12,I17,I22,I27)</f>
        <v>12.2</v>
      </c>
      <c r="J32" s="169">
        <f t="shared" ref="J32:M32" si="24">MEDIAN(J12,J17,J22,J27)</f>
        <v>13.3</v>
      </c>
      <c r="K32" s="169">
        <f t="shared" si="24"/>
        <v>12.45</v>
      </c>
      <c r="L32" s="169">
        <f t="shared" si="24"/>
        <v>13.7</v>
      </c>
      <c r="M32" s="169">
        <f t="shared" si="24"/>
        <v>17.7</v>
      </c>
      <c r="O32" s="166" t="s">
        <v>720</v>
      </c>
      <c r="P32" s="169">
        <f>'Key financial ratios'!E40</f>
        <v>4.5578995275109966</v>
      </c>
      <c r="Q32" s="169">
        <f>'Key financial ratios'!F40</f>
        <v>5.1767593658290716</v>
      </c>
      <c r="R32" s="169">
        <f>'Key financial ratios'!G40</f>
        <v>4.4388750014418408</v>
      </c>
      <c r="S32" s="169">
        <f>'Key financial ratios'!H40</f>
        <v>6.4890007748729399</v>
      </c>
      <c r="T32" s="169">
        <f>'Key financial ratios'!I40</f>
        <v>5.2403319140079008</v>
      </c>
    </row>
    <row r="33" spans="1:28" x14ac:dyDescent="0.2">
      <c r="A33" s="63">
        <v>86516287</v>
      </c>
      <c r="B33" s="63">
        <v>102174244</v>
      </c>
      <c r="C33" s="63">
        <v>108546020</v>
      </c>
      <c r="D33" s="63">
        <v>122958106</v>
      </c>
      <c r="E33" s="63">
        <v>133404778</v>
      </c>
      <c r="H33" s="166" t="s">
        <v>713</v>
      </c>
      <c r="I33" s="169">
        <f t="shared" ref="I33:M35" si="25">MEDIAN(I13,I18,I23,I28)</f>
        <v>10.673216401178625</v>
      </c>
      <c r="J33" s="169">
        <f t="shared" si="25"/>
        <v>9.8775673685273695</v>
      </c>
      <c r="K33" s="169">
        <f t="shared" si="25"/>
        <v>11.412628037261523</v>
      </c>
      <c r="L33" s="169">
        <f t="shared" si="25"/>
        <v>8.0669458600254664</v>
      </c>
      <c r="M33" s="169">
        <f t="shared" si="25"/>
        <v>13.144473249449657</v>
      </c>
      <c r="O33" s="166" t="s">
        <v>721</v>
      </c>
      <c r="P33" s="169">
        <f>'Key financial ratios'!E41</f>
        <v>2.5995027267122546</v>
      </c>
      <c r="Q33" s="169">
        <f>'Key financial ratios'!F41</f>
        <v>2.9033214364784889</v>
      </c>
      <c r="R33" s="169">
        <f>'Key financial ratios'!G41</f>
        <v>2.0481953917111442</v>
      </c>
      <c r="S33" s="169">
        <f>'Key financial ratios'!H41</f>
        <v>3.6381764496380717</v>
      </c>
      <c r="T33" s="169">
        <f>'Key financial ratios'!I41</f>
        <v>2.6706743397547394</v>
      </c>
    </row>
    <row r="34" spans="1:28" x14ac:dyDescent="0.2">
      <c r="A34" s="63">
        <v>8244614</v>
      </c>
      <c r="B34" s="63">
        <v>12055385</v>
      </c>
      <c r="C34" s="63">
        <v>8728169</v>
      </c>
      <c r="D34" s="63">
        <v>12179775</v>
      </c>
      <c r="E34" s="63">
        <v>8745827</v>
      </c>
      <c r="H34" s="166" t="s">
        <v>714</v>
      </c>
      <c r="I34" s="169">
        <f t="shared" si="25"/>
        <v>5.6999999999999993</v>
      </c>
      <c r="J34" s="169">
        <f t="shared" si="25"/>
        <v>5.3000000000000007</v>
      </c>
      <c r="K34" s="169">
        <f t="shared" si="25"/>
        <v>7.5500000000000007</v>
      </c>
      <c r="L34" s="169">
        <f t="shared" si="25"/>
        <v>8.1</v>
      </c>
      <c r="M34" s="169">
        <f t="shared" si="25"/>
        <v>5.55</v>
      </c>
      <c r="O34" s="166" t="s">
        <v>722</v>
      </c>
      <c r="P34" s="170">
        <f>'FPT Digital Retail JSC | Income'!E63/'FPT Digital Retail JSC | Income'!E51</f>
        <v>4.2101368230707319</v>
      </c>
      <c r="Q34" s="170">
        <f>'FPT Digital Retail JSC | Income'!F63/'FPT Digital Retail JSC | Income'!F51</f>
        <v>2.0181753622866783</v>
      </c>
      <c r="R34" s="170">
        <f>'FPT Digital Retail JSC | Income'!G63/'FPT Digital Retail JSC | Income'!G51</f>
        <v>0.12595661582308545</v>
      </c>
      <c r="S34" s="170">
        <f>'FPT Digital Retail JSC | Income'!H63/'FPT Digital Retail JSC | Income'!H51</f>
        <v>4.1306823767857281</v>
      </c>
      <c r="T34" s="170">
        <f>'FPT Digital Retail JSC | Income'!I63/'FPT Digital Retail JSC | Income'!I51</f>
        <v>2.0471303686811098</v>
      </c>
    </row>
    <row r="35" spans="1:28" x14ac:dyDescent="0.2">
      <c r="A35" s="173">
        <f>A33/A34</f>
        <v>10.493673445476041</v>
      </c>
      <c r="B35" s="173">
        <f t="shared" ref="B35:E35" si="26">B33/B34</f>
        <v>8.4754028179108332</v>
      </c>
      <c r="C35" s="173">
        <f t="shared" si="26"/>
        <v>12.436287610837967</v>
      </c>
      <c r="D35" s="173">
        <f t="shared" si="26"/>
        <v>10.095269083377977</v>
      </c>
      <c r="E35" s="173">
        <f t="shared" si="26"/>
        <v>15.253534971592737</v>
      </c>
      <c r="H35" s="166" t="s">
        <v>565</v>
      </c>
      <c r="I35" s="169">
        <f t="shared" si="25"/>
        <v>154.255</v>
      </c>
      <c r="J35" s="169">
        <f t="shared" si="25"/>
        <v>237.98500000000001</v>
      </c>
      <c r="K35" s="169">
        <f t="shared" si="25"/>
        <v>318.44999999999993</v>
      </c>
      <c r="L35" s="169">
        <f t="shared" si="25"/>
        <v>408.90499999999997</v>
      </c>
      <c r="M35" s="169">
        <f>MEDIAN(M15,M20,M25,M30)</f>
        <v>109.52500000000001</v>
      </c>
      <c r="O35" s="466" t="s">
        <v>669</v>
      </c>
      <c r="P35" s="466"/>
      <c r="Q35" s="466"/>
      <c r="R35" s="466"/>
      <c r="S35" s="466"/>
      <c r="T35" s="466"/>
      <c r="V35" t="s">
        <v>752</v>
      </c>
    </row>
    <row r="36" spans="1:28" x14ac:dyDescent="0.2">
      <c r="I36" s="182">
        <f>I30/I35</f>
        <v>18.638553045282165</v>
      </c>
      <c r="J36" s="182">
        <f t="shared" ref="J36:M36" si="27">J30/J35</f>
        <v>11.878185599932769</v>
      </c>
      <c r="K36" s="182">
        <f t="shared" si="27"/>
        <v>6.0093264248704674</v>
      </c>
      <c r="L36" s="182">
        <f t="shared" si="27"/>
        <v>4.3754172729607124</v>
      </c>
      <c r="M36" s="182">
        <f t="shared" si="27"/>
        <v>0.79443049532070309</v>
      </c>
      <c r="O36" s="166" t="s">
        <v>719</v>
      </c>
      <c r="P36" s="169">
        <f>MEDIAN(P30,P24,P18,P12)</f>
        <v>1.26</v>
      </c>
      <c r="Q36" s="169">
        <f t="shared" ref="Q36:T36" si="28">MEDIAN(Q30,Q24,Q18,Q12)</f>
        <v>1.2349999999999999</v>
      </c>
      <c r="R36" s="169">
        <f t="shared" si="28"/>
        <v>1.23</v>
      </c>
      <c r="S36" s="169">
        <f t="shared" si="28"/>
        <v>1.17</v>
      </c>
      <c r="T36" s="169">
        <f t="shared" si="28"/>
        <v>1.31</v>
      </c>
      <c r="V36" s="183">
        <f>P10</f>
        <v>2018</v>
      </c>
      <c r="W36" s="183">
        <f t="shared" ref="W36:Z36" si="29">Q10</f>
        <v>2019</v>
      </c>
      <c r="X36" s="183">
        <f t="shared" si="29"/>
        <v>2020</v>
      </c>
      <c r="Y36" s="183">
        <f t="shared" si="29"/>
        <v>2021</v>
      </c>
      <c r="Z36" s="183">
        <f t="shared" si="29"/>
        <v>2022</v>
      </c>
    </row>
    <row r="37" spans="1:28" x14ac:dyDescent="0.2">
      <c r="A37" t="s">
        <v>717</v>
      </c>
      <c r="H37" t="s">
        <v>714</v>
      </c>
      <c r="I37" s="178">
        <f>I29</f>
        <v>6.3</v>
      </c>
      <c r="J37" s="178">
        <f t="shared" ref="J37:M37" si="30">J29</f>
        <v>4.9000000000000004</v>
      </c>
      <c r="K37" s="178">
        <f t="shared" si="30"/>
        <v>4.8</v>
      </c>
      <c r="L37" s="178">
        <f t="shared" si="30"/>
        <v>5.7</v>
      </c>
      <c r="M37" s="178">
        <f t="shared" si="30"/>
        <v>4.5</v>
      </c>
      <c r="O37" s="166" t="s">
        <v>745</v>
      </c>
      <c r="P37" s="169">
        <f t="shared" ref="P37:T40" si="31">MEDIAN(P31,P25,P19,P13)</f>
        <v>0.56499999999999995</v>
      </c>
      <c r="Q37" s="169">
        <f t="shared" si="31"/>
        <v>0.55000000000000004</v>
      </c>
      <c r="R37" s="169">
        <f t="shared" si="31"/>
        <v>0.86499999999999999</v>
      </c>
      <c r="S37" s="169">
        <f t="shared" si="31"/>
        <v>0.64500000000000002</v>
      </c>
      <c r="T37" s="169">
        <f t="shared" si="31"/>
        <v>0.69</v>
      </c>
      <c r="U37" t="s">
        <v>715</v>
      </c>
      <c r="V37" s="69">
        <f>P30-P31</f>
        <v>0.62</v>
      </c>
      <c r="W37" s="69">
        <f t="shared" ref="W37:Z37" si="32">Q30-Q31</f>
        <v>0.62999999999999989</v>
      </c>
      <c r="X37" s="69">
        <f t="shared" si="32"/>
        <v>0.43999999999999995</v>
      </c>
      <c r="Y37" s="69">
        <f t="shared" si="32"/>
        <v>0.54000000000000015</v>
      </c>
      <c r="Z37" s="69">
        <f t="shared" si="32"/>
        <v>0.76</v>
      </c>
    </row>
    <row r="38" spans="1:28" x14ac:dyDescent="0.2">
      <c r="A38" s="63">
        <v>5937371</v>
      </c>
      <c r="B38" s="63">
        <v>8488069</v>
      </c>
      <c r="C38" s="63">
        <v>12535638</v>
      </c>
      <c r="D38" s="63">
        <v>20922813</v>
      </c>
      <c r="E38" s="63">
        <v>22028135</v>
      </c>
      <c r="H38" t="s">
        <v>743</v>
      </c>
      <c r="I38" s="63">
        <f>'FPT Digital Retail JSC | Income'!E28</f>
        <v>13254725</v>
      </c>
      <c r="J38" s="63">
        <f>'FPT Digital Retail JSC | Income'!F28</f>
        <v>14522903</v>
      </c>
      <c r="K38" s="63">
        <f>'FPT Digital Retail JSC | Income'!G28</f>
        <v>12620415</v>
      </c>
      <c r="L38" s="63">
        <f>'FPT Digital Retail JSC | Income'!H28</f>
        <v>19343448</v>
      </c>
      <c r="M38" s="63">
        <f>'FPT Digital Retail JSC | Income'!I28</f>
        <v>25462623</v>
      </c>
      <c r="O38" s="166" t="s">
        <v>720</v>
      </c>
      <c r="P38" s="169">
        <f t="shared" si="31"/>
        <v>3.45</v>
      </c>
      <c r="Q38" s="169">
        <f t="shared" si="31"/>
        <v>3.3650000000000002</v>
      </c>
      <c r="R38" s="169">
        <f t="shared" si="31"/>
        <v>3.54</v>
      </c>
      <c r="S38" s="169">
        <f t="shared" si="31"/>
        <v>4.18</v>
      </c>
      <c r="T38" s="169">
        <f t="shared" si="31"/>
        <v>3.66</v>
      </c>
      <c r="U38" t="s">
        <v>708</v>
      </c>
      <c r="V38" s="69">
        <f>P18-P19</f>
        <v>0.97</v>
      </c>
      <c r="W38" s="69">
        <f t="shared" ref="W38:Z38" si="33">Q18-Q19</f>
        <v>0.89999999999999991</v>
      </c>
      <c r="X38" s="69">
        <f t="shared" si="33"/>
        <v>0.66</v>
      </c>
      <c r="Y38" s="69">
        <f t="shared" si="33"/>
        <v>0.67999999999999994</v>
      </c>
      <c r="Z38" s="69">
        <f t="shared" si="33"/>
        <v>0.98</v>
      </c>
    </row>
    <row r="39" spans="1:28" x14ac:dyDescent="0.2">
      <c r="A39" s="174">
        <v>547084</v>
      </c>
      <c r="B39" s="174">
        <v>700330</v>
      </c>
      <c r="C39" s="174">
        <v>941370</v>
      </c>
      <c r="D39" s="174">
        <v>2844456</v>
      </c>
      <c r="E39" s="174">
        <v>1210401</v>
      </c>
      <c r="I39" s="168">
        <f>I38/'FPT Digital Retail JSC | BS'!D37</f>
        <v>5.2887337459336159</v>
      </c>
      <c r="J39" s="168">
        <f>J38/'FPT Digital Retail JSC | BS'!E37</f>
        <v>4.2922189232467041</v>
      </c>
      <c r="K39" s="168">
        <f>K38/'FPT Digital Retail JSC | BS'!F37</f>
        <v>6.908792161680128</v>
      </c>
      <c r="L39" s="168">
        <f>L38/'FPT Digital Retail JSC | BS'!G37</f>
        <v>3.9233345888200026</v>
      </c>
      <c r="M39" s="168">
        <f>M38/'FPT Digital Retail JSC | BS'!H37</f>
        <v>3.9270972333010685</v>
      </c>
      <c r="O39" s="166" t="s">
        <v>721</v>
      </c>
      <c r="P39" s="169">
        <f t="shared" si="31"/>
        <v>1.1850000000000001</v>
      </c>
      <c r="Q39" s="169">
        <f t="shared" si="31"/>
        <v>1.0899999999999999</v>
      </c>
      <c r="R39" s="169">
        <f t="shared" si="31"/>
        <v>1.42</v>
      </c>
      <c r="S39" s="169">
        <f t="shared" si="31"/>
        <v>1.6099999999999999</v>
      </c>
      <c r="T39" s="169">
        <f t="shared" si="31"/>
        <v>1.3649999999999998</v>
      </c>
      <c r="U39" t="s">
        <v>717</v>
      </c>
      <c r="V39" s="173">
        <f>P12-P13</f>
        <v>0.90999999999999992</v>
      </c>
      <c r="W39" s="173">
        <f t="shared" ref="W39:Z39" si="34">Q12-Q13</f>
        <v>0.98000000000000009</v>
      </c>
      <c r="X39" s="173">
        <f t="shared" si="34"/>
        <v>0.42999999999999994</v>
      </c>
      <c r="Y39" s="173">
        <f t="shared" si="34"/>
        <v>0.6100000000000001</v>
      </c>
      <c r="Z39" s="173">
        <f t="shared" si="34"/>
        <v>0.84</v>
      </c>
      <c r="AA39" s="173"/>
      <c r="AB39" s="173"/>
    </row>
    <row r="40" spans="1:28" x14ac:dyDescent="0.2">
      <c r="A40" s="168">
        <f>A38/A39</f>
        <v>10.85275935688121</v>
      </c>
      <c r="B40" s="168">
        <f t="shared" ref="B40:E40" si="35">B38/B39</f>
        <v>12.120099096140391</v>
      </c>
      <c r="C40" s="168">
        <f t="shared" si="35"/>
        <v>13.316377194939291</v>
      </c>
      <c r="D40" s="168">
        <f t="shared" si="35"/>
        <v>7.3556465629983379</v>
      </c>
      <c r="E40" s="168">
        <f t="shared" si="35"/>
        <v>18.199038996167385</v>
      </c>
      <c r="O40" s="166" t="s">
        <v>722</v>
      </c>
      <c r="P40" s="169">
        <f>MEDIAN(P34,P28,P22,P16)</f>
        <v>3.032560486586771</v>
      </c>
      <c r="Q40" s="169">
        <f t="shared" si="31"/>
        <v>1.7494431723447104</v>
      </c>
      <c r="R40" s="169">
        <f t="shared" si="31"/>
        <v>2.5997382884061766</v>
      </c>
      <c r="S40" s="169">
        <f t="shared" si="31"/>
        <v>4.8286066736569415</v>
      </c>
      <c r="T40" s="169">
        <f t="shared" si="31"/>
        <v>1.6292704646263878</v>
      </c>
      <c r="U40" t="s">
        <v>709</v>
      </c>
      <c r="V40" s="69">
        <f>P24-P25</f>
        <v>0.28999999999999992</v>
      </c>
      <c r="W40" s="69">
        <f t="shared" ref="W40:Z40" si="36">Q24-Q25</f>
        <v>0.38</v>
      </c>
      <c r="X40" s="69">
        <f t="shared" si="36"/>
        <v>0.17999999999999994</v>
      </c>
      <c r="Y40" s="69">
        <f t="shared" si="36"/>
        <v>0.22000000000000008</v>
      </c>
      <c r="Z40" s="69">
        <f t="shared" si="36"/>
        <v>0.34999999999999987</v>
      </c>
    </row>
    <row r="41" spans="1:28" x14ac:dyDescent="0.2">
      <c r="A41" t="s">
        <v>709</v>
      </c>
      <c r="M41" s="67"/>
      <c r="U41" t="s">
        <v>753</v>
      </c>
      <c r="V41" s="178">
        <f>P36-P37</f>
        <v>0.69500000000000006</v>
      </c>
      <c r="W41" s="178">
        <f t="shared" ref="W41:Z41" si="37">Q36-Q37</f>
        <v>0.68499999999999983</v>
      </c>
      <c r="X41" s="178">
        <f t="shared" si="37"/>
        <v>0.36499999999999999</v>
      </c>
      <c r="Y41" s="178">
        <f t="shared" si="37"/>
        <v>0.52499999999999991</v>
      </c>
      <c r="Z41" s="178">
        <f t="shared" si="37"/>
        <v>0.62000000000000011</v>
      </c>
    </row>
    <row r="42" spans="1:28" x14ac:dyDescent="0.2">
      <c r="A42">
        <v>11091976</v>
      </c>
      <c r="B42">
        <v>10008489</v>
      </c>
      <c r="C42">
        <v>13453249</v>
      </c>
      <c r="D42">
        <v>17598238</v>
      </c>
      <c r="E42">
        <v>17543323</v>
      </c>
      <c r="M42" s="67"/>
    </row>
    <row r="43" spans="1:28" x14ac:dyDescent="0.2">
      <c r="A43">
        <v>1428095</v>
      </c>
      <c r="B43">
        <v>1305856</v>
      </c>
      <c r="C43">
        <v>1352898</v>
      </c>
      <c r="D43">
        <v>2241130</v>
      </c>
      <c r="E43">
        <v>1747165</v>
      </c>
    </row>
    <row r="44" spans="1:28" x14ac:dyDescent="0.2">
      <c r="A44" s="173">
        <f>A42/A43</f>
        <v>7.7669734856574664</v>
      </c>
      <c r="B44" s="173">
        <f t="shared" ref="B44:E44" si="38">B42/B43</f>
        <v>7.664312910458734</v>
      </c>
      <c r="C44" s="173">
        <f t="shared" si="38"/>
        <v>9.9440231266510857</v>
      </c>
      <c r="D44" s="173">
        <f t="shared" si="38"/>
        <v>7.8523949971666083</v>
      </c>
      <c r="E44" s="173">
        <f t="shared" si="38"/>
        <v>10.041022456379334</v>
      </c>
    </row>
    <row r="61" spans="4:13" x14ac:dyDescent="0.2">
      <c r="H61" t="s">
        <v>714</v>
      </c>
      <c r="I61">
        <v>6.3</v>
      </c>
      <c r="J61">
        <v>4.9000000000000004</v>
      </c>
      <c r="K61">
        <v>4.8</v>
      </c>
      <c r="L61">
        <v>5.7</v>
      </c>
      <c r="M61">
        <v>4.5</v>
      </c>
    </row>
    <row r="62" spans="4:13" x14ac:dyDescent="0.2">
      <c r="H62" t="s">
        <v>744</v>
      </c>
      <c r="I62" s="63">
        <f>'FPT Digital Retail JSC | Income'!E39</f>
        <v>1583114</v>
      </c>
      <c r="J62" s="63">
        <f>'FPT Digital Retail JSC | Income'!F39</f>
        <v>1768320</v>
      </c>
      <c r="K62" s="63">
        <f>'FPT Digital Retail JSC | Income'!G39</f>
        <v>1935903</v>
      </c>
      <c r="L62" s="63">
        <f>'FPT Digital Retail JSC | Income'!H39</f>
        <v>2656653</v>
      </c>
      <c r="M62" s="63">
        <f>'FPT Digital Retail JSC | Income'!I39</f>
        <v>4146636</v>
      </c>
    </row>
    <row r="64" spans="4:13" x14ac:dyDescent="0.2">
      <c r="D64">
        <f>B10</f>
        <v>2018</v>
      </c>
      <c r="E64">
        <f t="shared" ref="E64:H64" si="39">C10</f>
        <v>2019</v>
      </c>
      <c r="F64">
        <f t="shared" si="39"/>
        <v>2020</v>
      </c>
      <c r="G64">
        <f t="shared" si="39"/>
        <v>2021</v>
      </c>
      <c r="H64">
        <f t="shared" si="39"/>
        <v>2022</v>
      </c>
    </row>
    <row r="65" spans="1:8" x14ac:dyDescent="0.2">
      <c r="A65" s="475" t="s">
        <v>749</v>
      </c>
      <c r="B65" s="475"/>
      <c r="C65" s="475"/>
      <c r="D65" s="68">
        <v>0.16259952564243854</v>
      </c>
      <c r="E65" s="68">
        <v>9.8391223792669305E-2</v>
      </c>
      <c r="F65" s="68">
        <v>-0.10476282913589685</v>
      </c>
      <c r="G65" s="68">
        <v>0.49850612046154125</v>
      </c>
      <c r="H65" s="68">
        <v>0.35277914940639488</v>
      </c>
    </row>
    <row r="66" spans="1:8" x14ac:dyDescent="0.2">
      <c r="A66" s="475" t="s">
        <v>750</v>
      </c>
      <c r="B66" s="475"/>
      <c r="C66" s="475"/>
      <c r="D66" s="181">
        <f>B24</f>
        <v>0.13358381810831049</v>
      </c>
      <c r="E66" s="181">
        <f t="shared" ref="E66:H66" si="40">C24</f>
        <v>0.12691247303708797</v>
      </c>
      <c r="F66" s="181">
        <f t="shared" si="40"/>
        <v>0.13920905462275576</v>
      </c>
      <c r="G66" s="181">
        <f t="shared" si="40"/>
        <v>0.14009862030878828</v>
      </c>
      <c r="H66" s="181">
        <f t="shared" si="40"/>
        <v>0.15591092707931078</v>
      </c>
    </row>
    <row r="67" spans="1:8" x14ac:dyDescent="0.2">
      <c r="A67" s="475" t="s">
        <v>751</v>
      </c>
      <c r="B67" s="475"/>
      <c r="C67" s="475"/>
      <c r="D67" s="181">
        <f>B25</f>
        <v>2.6328878273354585E-2</v>
      </c>
      <c r="E67" s="181">
        <f t="shared" ref="E67:H67" si="41">C25</f>
        <v>1.6401566433970022E-2</v>
      </c>
      <c r="F67" s="181">
        <f t="shared" si="41"/>
        <v>9.7664502687564228E-4</v>
      </c>
      <c r="G67" s="181">
        <f t="shared" si="41"/>
        <v>2.4280815601325115E-2</v>
      </c>
      <c r="H67" s="181">
        <f t="shared" si="41"/>
        <v>1.571209728526685E-2</v>
      </c>
    </row>
  </sheetData>
  <mergeCells count="28">
    <mergeCell ref="A65:C65"/>
    <mergeCell ref="A66:C66"/>
    <mergeCell ref="A67:C67"/>
    <mergeCell ref="H31:M31"/>
    <mergeCell ref="O35:T35"/>
    <mergeCell ref="AA22:AA24"/>
    <mergeCell ref="AA17:AA19"/>
    <mergeCell ref="AA11:AA13"/>
    <mergeCell ref="A1:A2"/>
    <mergeCell ref="B1:B2"/>
    <mergeCell ref="C1:C2"/>
    <mergeCell ref="D1:D2"/>
    <mergeCell ref="A11:F11"/>
    <mergeCell ref="A9:F9"/>
    <mergeCell ref="H9:M9"/>
    <mergeCell ref="H11:M11"/>
    <mergeCell ref="A15:F15"/>
    <mergeCell ref="O9:T9"/>
    <mergeCell ref="O11:T11"/>
    <mergeCell ref="O17:T17"/>
    <mergeCell ref="O23:T23"/>
    <mergeCell ref="O29:T29"/>
    <mergeCell ref="A27:F27"/>
    <mergeCell ref="H16:M16"/>
    <mergeCell ref="H21:M21"/>
    <mergeCell ref="A23:F23"/>
    <mergeCell ref="H26:M26"/>
    <mergeCell ref="A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FPT Digital Retail JSC | Cash F</vt:lpstr>
      <vt:lpstr>FPT Digital Retail JSC | BS</vt:lpstr>
      <vt:lpstr>FPT Digital Retail JSC | Income</vt:lpstr>
      <vt:lpstr>App</vt:lpstr>
      <vt:lpstr>BS</vt:lpstr>
      <vt:lpstr>Exhibit </vt:lpstr>
      <vt:lpstr>Revenue breakdown</vt:lpstr>
      <vt:lpstr>ROE Dupont</vt:lpstr>
      <vt:lpstr>Key financial ratios</vt:lpstr>
      <vt:lpstr>Model </vt:lpstr>
      <vt:lpstr>Peer Valuation</vt:lpstr>
      <vt:lpstr>CAPM</vt:lpstr>
      <vt:lpstr>Peers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Ngoc Nguyen</cp:lastModifiedBy>
  <dcterms:created xsi:type="dcterms:W3CDTF">2023-10-11T05:03:49Z</dcterms:created>
  <dcterms:modified xsi:type="dcterms:W3CDTF">2024-12-26T17:06:00Z</dcterms:modified>
</cp:coreProperties>
</file>