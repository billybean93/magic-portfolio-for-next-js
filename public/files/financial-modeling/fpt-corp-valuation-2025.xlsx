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T Corp | Balance Sheet " sheetId="1" r:id="rId4"/>
    <sheet state="visible" name="FPT Corp | Income Statement " sheetId="2" r:id="rId5"/>
    <sheet state="visible" name="FPT Corp | Cash Flow " sheetId="3" r:id="rId6"/>
    <sheet state="visible" name="Key metrics" sheetId="4" r:id="rId7"/>
    <sheet state="visible" name="FCFE model" sheetId="5" r:id="rId8"/>
    <sheet state="visible" name="Peer Val" sheetId="6" r:id="rId9"/>
    <sheet state="visible" name="Peer Selection" sheetId="7" r:id="rId10"/>
    <sheet state="visible" name="Revenue breakdown" sheetId="8" r:id="rId11"/>
    <sheet state="visible" name="Revenue assumption" sheetId="9" r:id="rId12"/>
    <sheet state="visible" name="Exhibit" sheetId="10" r:id="rId13"/>
  </sheets>
  <externalReferences>
    <externalReference r:id="rId14"/>
  </externalReferences>
  <definedNames/>
  <calcPr/>
  <extLst>
    <ext uri="GoogleSheetsCustomDataVersion2">
      <go:sheetsCustomData xmlns:go="http://customooxmlschemas.google.com/" r:id="rId15" roundtripDataChecksum="xunOkzQvfsEDaBrWJ3wy6sy9YTV/ttYc5Acmjtr+vw0="/>
    </ext>
  </extLst>
</workbook>
</file>

<file path=xl/sharedStrings.xml><?xml version="1.0" encoding="utf-8"?>
<sst xmlns="http://schemas.openxmlformats.org/spreadsheetml/2006/main" count="2063" uniqueCount="845">
  <si>
    <t>FPT Corp | Balance Sheet                                31-Jul-2024 11:26</t>
  </si>
  <si>
    <t>Balance Sheet</t>
  </si>
  <si>
    <t>Industry - Annual Standardised in Millions of Vietnamese Dong</t>
  </si>
  <si>
    <t>HISTORICAL</t>
  </si>
  <si>
    <t>Earnings Quality Score</t>
  </si>
  <si>
    <t>67 </t>
  </si>
  <si>
    <t>93 </t>
  </si>
  <si>
    <t>88 </t>
  </si>
  <si>
    <t>96 </t>
  </si>
  <si>
    <t>Assets (VND Millions)</t>
  </si>
  <si>
    <t>Cash and Short Term Investments</t>
  </si>
  <si>
    <t>Cash</t>
  </si>
  <si>
    <t>Cash &amp; Equivalents</t>
  </si>
  <si>
    <t>Short Term Investments</t>
  </si>
  <si>
    <t>Accounts Receivable - Trade, Net</t>
  </si>
  <si>
    <t>Accounts Receivable - Trade, Gross</t>
  </si>
  <si>
    <t>Provision for Doubtful Accounts</t>
  </si>
  <si>
    <t>Total Receivables, Net</t>
  </si>
  <si>
    <t>Notes Receivable - Short Term</t>
  </si>
  <si>
    <t>Receivables - Other</t>
  </si>
  <si>
    <t>Total Inventory</t>
  </si>
  <si>
    <t>Inventories - Finished Goods</t>
  </si>
  <si>
    <t>Inventories - Work In Progress</t>
  </si>
  <si>
    <t>Inventories - Raw Materials</t>
  </si>
  <si>
    <t>Inventories - Other</t>
  </si>
  <si>
    <t>Prepaid Expenses</t>
  </si>
  <si>
    <t>Other Current Assets, Total</t>
  </si>
  <si>
    <t>--</t>
  </si>
  <si>
    <t>Total Current Assets</t>
  </si>
  <si>
    <t>Total Current Assets (excl. cash)</t>
  </si>
  <si>
    <t>Property/Plant/Equipment, Total - Gross</t>
  </si>
  <si>
    <t>Buildings - Gross</t>
  </si>
  <si>
    <t>Machinery/Equipment - Gross</t>
  </si>
  <si>
    <t>Construction in Progress - Gross</t>
  </si>
  <si>
    <t>Other Property/Plant/Equipment - Gross</t>
  </si>
  <si>
    <t>Property/Plant/Equipment, Total - Net</t>
  </si>
  <si>
    <t>Accumulated Depreciation, Total</t>
  </si>
  <si>
    <t>Goodwill, Net</t>
  </si>
  <si>
    <t>Goodwill - Gross</t>
  </si>
  <si>
    <t>Accumulated Goodwill Amortization</t>
  </si>
  <si>
    <t>Intangibles, Net</t>
  </si>
  <si>
    <t>Intangibles - Gross</t>
  </si>
  <si>
    <t>Accumulated Intangible Amortization</t>
  </si>
  <si>
    <t>Long Term Investments</t>
  </si>
  <si>
    <t>LT Investment - Affiliate Companies</t>
  </si>
  <si>
    <t>LT Investments - Other</t>
  </si>
  <si>
    <t>Note Receivable - Long Term</t>
  </si>
  <si>
    <t>Other Long Term Assets, Total</t>
  </si>
  <si>
    <t>Deferred Charges</t>
  </si>
  <si>
    <t>Defered Income Tax - Long Term Asset</t>
  </si>
  <si>
    <t>Total Assets</t>
  </si>
  <si>
    <t>Liabilities (VND Millions)</t>
  </si>
  <si>
    <t>Accounts Payable</t>
  </si>
  <si>
    <t>Payable/Accrued</t>
  </si>
  <si>
    <t>Accrued Expenses</t>
  </si>
  <si>
    <t>Notes Payable/Short Term Debt</t>
  </si>
  <si>
    <t>Current Port. of LT Debt/Capital Leases</t>
  </si>
  <si>
    <t>Other Current liabilities, Total</t>
  </si>
  <si>
    <t>Customer Advances</t>
  </si>
  <si>
    <t>Income Taxes Payable</t>
  </si>
  <si>
    <t>Other Payables</t>
  </si>
  <si>
    <t>Other Current Liabilities</t>
  </si>
  <si>
    <t>Total Current Liabilities</t>
  </si>
  <si>
    <t>Total Current Liabilities (excl. debt)</t>
  </si>
  <si>
    <t>Working cap</t>
  </si>
  <si>
    <t>% changes in WC</t>
  </si>
  <si>
    <t>% sales growth</t>
  </si>
  <si>
    <t>Total Long Term Debt</t>
  </si>
  <si>
    <t>Long Term Debt</t>
  </si>
  <si>
    <t>Capital Lease Obligations</t>
  </si>
  <si>
    <t>Total Debt</t>
  </si>
  <si>
    <t>D/e</t>
  </si>
  <si>
    <t>Deferred Income Tax</t>
  </si>
  <si>
    <t>Deferred Income Tax - LT Liability</t>
  </si>
  <si>
    <t>Minority Interest</t>
  </si>
  <si>
    <t>Other Liabilities, Total</t>
  </si>
  <si>
    <t>Reserves</t>
  </si>
  <si>
    <t>Other Long Term Liabilities</t>
  </si>
  <si>
    <t>Total Liabilities</t>
  </si>
  <si>
    <t>Shareholders Equity (VND Millions)</t>
  </si>
  <si>
    <t>Redeemable Preferred Stock, Total</t>
  </si>
  <si>
    <t>Preferred Stock - Non Redeemable, Net</t>
  </si>
  <si>
    <t>Common Stock, Total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</si>
  <si>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</si>
  <si>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</si>
  <si>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</si>
  <si>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</si>
  <si>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</si>
  <si>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</si>
  <si>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</si>
  <si>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Translation Adjustment</t>
  </si>
  <si>
    <t>Other Equity</t>
  </si>
  <si>
    <t>Total Equity</t>
  </si>
  <si>
    <t>Total Liabilities &amp; Shareholders' Equity</t>
  </si>
  <si>
    <t>Supplemental (VND Millions)</t>
  </si>
  <si>
    <t>Shares Outstanding - Common Issue 2</t>
  </si>
  <si>
    <t>Shares Outstanding - Common Issue 3</t>
  </si>
  <si>
    <t>Shares Outstanding - Common Issue 4</t>
  </si>
  <si>
    <t>Total Common Shares Outstanding</t>
  </si>
  <si>
    <t>Shares Outs - Common Stock Primary Issue</t>
  </si>
  <si>
    <t>Treas Shares - Common Stock Prmry Issue</t>
  </si>
  <si>
    <t>Treasury Shares - Common Issue 2</t>
  </si>
  <si>
    <t>Treasury Shares - Common Issue 3</t>
  </si>
  <si>
    <t>Treasury Shares - Common Issue 4</t>
  </si>
  <si>
    <t>Total Preferred Shares Outstanding</t>
  </si>
  <si>
    <t>Treasury Shares - Preferred Issue 1</t>
  </si>
  <si>
    <t>Treasury Shares - Preferred Issue 2</t>
  </si>
  <si>
    <t>Treasury Shares - Preferred Issue 3</t>
  </si>
  <si>
    <t>Treasury Shares - Preferred Issue 4</t>
  </si>
  <si>
    <t>Treasury Shares - Preferred Issue 5</t>
  </si>
  <si>
    <t>Treasury Shares - Preferred Issue 6</t>
  </si>
  <si>
    <t>Minority Interest - Redeemable</t>
  </si>
  <si>
    <t>Minority Interest - Non Redeemable</t>
  </si>
  <si>
    <t>Total Equity &amp; Minority Interest</t>
  </si>
  <si>
    <t>Full-Time Employees</t>
  </si>
  <si>
    <t>Part-Time Employees</t>
  </si>
  <si>
    <t>Number of Common Shareholders</t>
  </si>
  <si>
    <t>Other Property/Plant/Equipment - Net</t>
  </si>
  <si>
    <t>Intangibles - Net</t>
  </si>
  <si>
    <t>Goodwill - Net</t>
  </si>
  <si>
    <t>Accumulated Goodwill Amortization Suppl.</t>
  </si>
  <si>
    <t>Accumulated Intangible Amort, Suppl.</t>
  </si>
  <si>
    <t>Wgt Avg Rem Lease Term (Yrs)-Oper Lease</t>
  </si>
  <si>
    <t>Wgt Avg Rem Lease Term (Yrs)-Fin Lease</t>
  </si>
  <si>
    <t>Wgt Avg Disc Rate - Operating Lease</t>
  </si>
  <si>
    <t>Wgt Avg Disc Rate - Finance Lease</t>
  </si>
  <si>
    <t>Indefinite-lived intangibles-Net-Supple</t>
  </si>
  <si>
    <t>Right-of-Use Assets-Cap.Lease,Net-Suppl.</t>
  </si>
  <si>
    <t>Right-of-Use Assets-Cap.Lease,Gross-Sup.</t>
  </si>
  <si>
    <t>Right-of-Use Assets-Cap.Lease,Depr.-Sup.</t>
  </si>
  <si>
    <t>Right-of-Use Assets-Op.Lease, Net-Suppl.</t>
  </si>
  <si>
    <t>Right-of-Use Assets-Op.Lease, Gross-Sup.</t>
  </si>
  <si>
    <t>Right-of-Use Assets-Op.Lease, Depr.-Sup.</t>
  </si>
  <si>
    <t>Non-Current Marketable Securities,Suppl.</t>
  </si>
  <si>
    <t>Contract Assets - Short Term</t>
  </si>
  <si>
    <t>Contract Assets - Long Term</t>
  </si>
  <si>
    <t>Contract Liability - Long Term</t>
  </si>
  <si>
    <t>Contract Liability - Short Term</t>
  </si>
  <si>
    <t>Deferred Revenue - Current</t>
  </si>
  <si>
    <t>Deferred Revenue - Long Term</t>
  </si>
  <si>
    <t>Short Term Debt Financial Sector, Suppl.</t>
  </si>
  <si>
    <t>Curr Port - LTD/Cap Lse Fin Sec., Suppl.</t>
  </si>
  <si>
    <t>Long Term Debt Financial Sector, Suppl.</t>
  </si>
  <si>
    <t>Capital Lease Oblig. - Fin Sector, Suppl</t>
  </si>
  <si>
    <t>Curr. Port. of LT Capital Leases, Suppl.</t>
  </si>
  <si>
    <t>Curr Port of LT Operating Leases, Suppl.</t>
  </si>
  <si>
    <t>Long-Term Operating Lease Liabs., Suppl.</t>
  </si>
  <si>
    <t>Curr Derivative Liab. Hedging, Suppl.</t>
  </si>
  <si>
    <t>Curr Derivative Liab. Spec./Trdg, Suppl.</t>
  </si>
  <si>
    <t>Non-Curr Derivative Liab. Hedging, Suppl</t>
  </si>
  <si>
    <t>Non-Curr Derivative Liab Spec/Trdg Suppl</t>
  </si>
  <si>
    <t>Leverage Ratio (Basel 3)</t>
  </si>
  <si>
    <t>Net Stable Funding Ratio (Basel 3)</t>
  </si>
  <si>
    <t>Liquidity Coverage Ratio (Basel 3)</t>
  </si>
  <si>
    <t>Capital Adequacy - Core Tier 1 (Value)</t>
  </si>
  <si>
    <t>Capital Adequacy - Hybrid Tier 1 (Value)</t>
  </si>
  <si>
    <t>Capital Adequacy -Tier 1 Capital (Value)</t>
  </si>
  <si>
    <t>Capital Adequacy -Tier 2 Capital (Value)</t>
  </si>
  <si>
    <t>Capital Adequacy -Tier 3 Capital (Value)</t>
  </si>
  <si>
    <t>Capital Adequacy - Total Capital (Value)</t>
  </si>
  <si>
    <t>Total Risk-Weighted Capital</t>
  </si>
  <si>
    <t>Capital Adequacy - Core Tier 1 Capital %</t>
  </si>
  <si>
    <t>Capital Adequacy - Tier 1 Capital %</t>
  </si>
  <si>
    <t>Capital Adequacy - Tier 2 Capital %</t>
  </si>
  <si>
    <t>Capital Adequacy - Tier 3 Capital %</t>
  </si>
  <si>
    <t>Capital Adequacy - Total Capital %</t>
  </si>
  <si>
    <t>Trading Account</t>
  </si>
  <si>
    <t>Credit Exposure</t>
  </si>
  <si>
    <t>Non-Performing Loans</t>
  </si>
  <si>
    <t>Assets under Management</t>
  </si>
  <si>
    <t>Loans - Stage 1 - Gross, Total</t>
  </si>
  <si>
    <t>Loans - Stage 2 - Gross, Total</t>
  </si>
  <si>
    <t>Loans - Stage 3 - Gross, Total</t>
  </si>
  <si>
    <t>Total Current Assets less Inventory</t>
  </si>
  <si>
    <t>Revolving Line of Credit - Outstanding</t>
  </si>
  <si>
    <t>Rvlvng Line of Credit - Principal Amount</t>
  </si>
  <si>
    <t>Rvlvng Line of Credit - Unused Amount</t>
  </si>
  <si>
    <t>Loans - Gross Non-Performing-As Reported</t>
  </si>
  <si>
    <t>Loans - Gross Non-Performing - As Rep -%</t>
  </si>
  <si>
    <t>Non-Perform Asst-Oth than Loans- As Rep</t>
  </si>
  <si>
    <t>Non-Performing Assets-Loans &amp; Oth-As Rep</t>
  </si>
  <si>
    <t>Net Debt Incl. Pref.Stock &amp; Min.Interest</t>
  </si>
  <si>
    <t>Tangible Book Value, Common Equity</t>
  </si>
  <si>
    <t>Reported Total Assets</t>
  </si>
  <si>
    <t>Reported Total Liabilities</t>
  </si>
  <si>
    <t>Shareholders' Equity Excl. Stock Subscr.</t>
  </si>
  <si>
    <t>Reported Shareholder's Equity</t>
  </si>
  <si>
    <t>Reported Net Assets</t>
  </si>
  <si>
    <t>Reported Net Assets to Total Assets</t>
  </si>
  <si>
    <t>Reported Return on Assets</t>
  </si>
  <si>
    <t>Reported Return on Equity</t>
  </si>
  <si>
    <t>Islamic Investments &amp; Deposits</t>
  </si>
  <si>
    <t>Islamic Receivables</t>
  </si>
  <si>
    <t>Islamic Debt</t>
  </si>
  <si>
    <t>Islamic Section, Supplemental</t>
  </si>
  <si>
    <t>Debt &amp; Lease, Pension Items (VND Millions)</t>
  </si>
  <si>
    <t>Total Long Term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</si>
  <si>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</si>
  <si>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</si>
  <si>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</si>
  <si>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</si>
  <si>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</si>
  <si>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2-3 Years</t>
  </si>
  <si>
    <t>Long Term Debt Maturing in 4-5 Years</t>
  </si>
  <si>
    <t>Long Term Debt Matur. in Year 6 &amp; Beyond</t>
  </si>
  <si>
    <t>Total Capital Leases, Supplemental</t>
  </si>
  <si>
    <t>Total Operating Leases, Supplemental</t>
  </si>
  <si>
    <t>Operating Lease Payments Due in Year 1</t>
  </si>
  <si>
    <t>Operating Lease Payments Due in Year 2</t>
  </si>
  <si>
    <t>Operating Lease Payments Due in Year 3</t>
  </si>
  <si>
    <t>Operating Lease Payments Due in Year 4</t>
  </si>
  <si>
    <t>Operating Lease Payments Due in Year 5</t>
  </si>
  <si>
    <t>Operating Lease Pymts. Due in 2-3 Years</t>
  </si>
  <si>
    <t>Operating Lease Pymts. Due in 4-5 Years</t>
  </si>
  <si>
    <t>Oper. Lse. Pymts. Due in Year 6 &amp; Beyond</t>
  </si>
  <si>
    <t>Operating Leases - Interest Cost</t>
  </si>
  <si>
    <t>Total Funded Status</t>
  </si>
  <si>
    <t>Period End Assumptions</t>
  </si>
  <si>
    <t>Net Assets Recognized on Balance Sheet</t>
  </si>
  <si>
    <t>Asset Allocation</t>
  </si>
  <si>
    <t>Total Plan Obligations</t>
  </si>
  <si>
    <t>Total Plan Assets</t>
  </si>
  <si>
    <t>FPT Corp | Income Statement                                31-Jul-2024 11:25</t>
  </si>
  <si>
    <t>Income Statement</t>
  </si>
  <si>
    <t>Revenue</t>
  </si>
  <si>
    <t>Gross Revenue</t>
  </si>
  <si>
    <t>Sales Returns and Allowances</t>
  </si>
  <si>
    <t>Other Revenue, Total</t>
  </si>
  <si>
    <t>Total Revenue</t>
  </si>
  <si>
    <t>Cost of Revenue, Total</t>
  </si>
  <si>
    <t>Cost of Revenue</t>
  </si>
  <si>
    <t>Gross Profit</t>
  </si>
  <si>
    <t>Selling/General/Admin. Expenses, Total</t>
  </si>
  <si>
    <t>Selling/General/Administrative Expense</t>
  </si>
  <si>
    <t>Labor &amp; Related Expense</t>
  </si>
  <si>
    <t>Research &amp; Development</t>
  </si>
  <si>
    <t>Depreciation/Amortization</t>
  </si>
  <si>
    <t>Interest Expense, Net - Operating</t>
  </si>
  <si>
    <t>Interest Expense - Operating</t>
  </si>
  <si>
    <t>Interest/Investment Income - Operating</t>
  </si>
  <si>
    <t>Interest Income - Operating</t>
  </si>
  <si>
    <t>Investment Income - Operating</t>
  </si>
  <si>
    <t>Interest Expense(Income) - Net Operating</t>
  </si>
  <si>
    <t>Interest Exp.(Inc.),Net-Operating, Total</t>
  </si>
  <si>
    <t>Unusual Expense (Income)</t>
  </si>
  <si>
    <t>Other Operating Expenses, Total</t>
  </si>
  <si>
    <t>Other, Net</t>
  </si>
  <si>
    <t>Total Operating Expense</t>
  </si>
  <si>
    <t>Operating Income</t>
  </si>
  <si>
    <t>Interest Expense, Net Non-Operating</t>
  </si>
  <si>
    <t>Interest/Invest Income - Non-Operating</t>
  </si>
  <si>
    <t>Interest Income(Exp), Net Non-Operating</t>
  </si>
  <si>
    <t>Interest Inc.(Exp.),Net-Non-Op., Total</t>
  </si>
  <si>
    <t>Gain (Loss) on Sale of Assets</t>
  </si>
  <si>
    <t>Other Non-Operating Income (Expense)</t>
  </si>
  <si>
    <t>Net Income Before Taxes</t>
  </si>
  <si>
    <t>Provision for Income Taxes</t>
  </si>
  <si>
    <t>Net Income After Taxes</t>
  </si>
  <si>
    <t>Equity In Affiliates</t>
  </si>
  <si>
    <t>U.S. GAAP Adjustment</t>
  </si>
  <si>
    <t>Net Income Before Extra. Items</t>
  </si>
  <si>
    <t>Accounting Change</t>
  </si>
  <si>
    <t>Discontinued Operations</t>
  </si>
  <si>
    <t>Extraordinary Item</t>
  </si>
  <si>
    <t>Tax on Extraordinary Items</t>
  </si>
  <si>
    <t>Total Extraordinary Items</t>
  </si>
  <si>
    <t>Net Income</t>
  </si>
  <si>
    <t>Preferred Dividends</t>
  </si>
  <si>
    <t>General Partners' Distributions</t>
  </si>
  <si>
    <t>Miscellaneous Earnings Adjustment</t>
  </si>
  <si>
    <t>Pro Forma Adjustment</t>
  </si>
  <si>
    <t>Interest Adjustment - Primary EPS</t>
  </si>
  <si>
    <t>Total Adjustments to Net Income</t>
  </si>
  <si>
    <t>Income Available to Com Excl ExtraOrd</t>
  </si>
  <si>
    <t>Income Available to Com Incl ExtraOrd</t>
  </si>
  <si>
    <t>Basic Weighted Average Shares</t>
  </si>
  <si>
    <t>Basic EPS Excluding Extraordinary Items</t>
  </si>
  <si>
    <t>Basic EPS Including Extraordinary Items</t>
  </si>
  <si>
    <t>Dilution Adjustment</t>
  </si>
  <si>
    <t>Diluted Net Income</t>
  </si>
  <si>
    <t>Diluted Weighted Average Shares</t>
  </si>
  <si>
    <t>Diluted EPS Excluding ExtraOrd Items</t>
  </si>
  <si>
    <t>Diluted EPS Including ExtraOrd Items</t>
  </si>
  <si>
    <t>DPS - Common Stock Primary Issue</t>
  </si>
  <si>
    <t>Dividends per Share - Com Stock Issue 2</t>
  </si>
  <si>
    <t>Dividends per Share - Com Stock Issue 3</t>
  </si>
  <si>
    <t>Dividends per Share - Com Stock Issue 4</t>
  </si>
  <si>
    <t>Special DPS - Common Stock Primary Issue</t>
  </si>
  <si>
    <t>Special DPS - Common Stock Issue 2</t>
  </si>
  <si>
    <t>Special DPS - Common Stock Issue 3</t>
  </si>
  <si>
    <t>Special DPS - Common Stock Issue 4</t>
  </si>
  <si>
    <t>Gross Dividends - Common Stock</t>
  </si>
  <si>
    <t>Pro Forma Stock Compensation Expense</t>
  </si>
  <si>
    <t>Net Income after Stock Based Comp. Exp.</t>
  </si>
  <si>
    <t>Basic EPS after Stock Based Comp. Exp.</t>
  </si>
  <si>
    <t>Diluted EPS after Stock Based Comp. Exp.</t>
  </si>
  <si>
    <t>(Gain) Loss on Sale of Assets, Suppl.</t>
  </si>
  <si>
    <t>Impairment-Assets Held for Sale, Suppl.</t>
  </si>
  <si>
    <t>Impairment-Assets Held for Use, Suppl.</t>
  </si>
  <si>
    <t>Litigation Charge, Supplemental</t>
  </si>
  <si>
    <t>Purchased R&amp;D Written-Off, Supplemental</t>
  </si>
  <si>
    <t>Restructuring Charge, Supplemental</t>
  </si>
  <si>
    <t>Other Unusual Expense(Income), Suppl.</t>
  </si>
  <si>
    <t>Non-Recurring Items, Supplemental, Total</t>
  </si>
  <si>
    <t>Total Special Items</t>
  </si>
  <si>
    <t>Normalized Income Before Taxes</t>
  </si>
  <si>
    <t>Effect of Special Items on Income Taxes</t>
  </si>
  <si>
    <t>Inc Tax Ex Impact of Sp Items</t>
  </si>
  <si>
    <t>Normalized Income After Taxes</t>
  </si>
  <si>
    <t>Normalized Inc. Avail to Com.</t>
  </si>
  <si>
    <t>Basic Normalized EPS</t>
  </si>
  <si>
    <t>Diluted Normalized EPS</t>
  </si>
  <si>
    <t>EPS, Supplemental</t>
  </si>
  <si>
    <t>Funds From Operations - REIT</t>
  </si>
  <si>
    <t>Amort of Acquisition Costs, Supplemental</t>
  </si>
  <si>
    <t>Amort of Intangibles, Supplemental</t>
  </si>
  <si>
    <t>Amort. of Right-of-Use Intang.Assets,Sup</t>
  </si>
  <si>
    <t>Depreciation, Supplemental</t>
  </si>
  <si>
    <t>Depreciation of Right-of-Use Assets,Sup.</t>
  </si>
  <si>
    <t>Interest Expense, Supplemental</t>
  </si>
  <si>
    <t>Interest Capitalized, Supplemental</t>
  </si>
  <si>
    <t>Interest Expense on Lease Liabs., Suppl.</t>
  </si>
  <si>
    <t>Interest Expense (Financial Oper), Suppl</t>
  </si>
  <si>
    <t>Net Revenues</t>
  </si>
  <si>
    <t>Rental Expense, Supplemental</t>
  </si>
  <si>
    <t>Labor &amp; Related Expense Suppl.</t>
  </si>
  <si>
    <t>Stock-Based Compensation, Supplemental</t>
  </si>
  <si>
    <t>Variable Lease Expense - Unclassified</t>
  </si>
  <si>
    <t>Variable Operating Lease Expenses</t>
  </si>
  <si>
    <t>Variable Financial Lease Expenses</t>
  </si>
  <si>
    <t>Short-Term Lease Cost</t>
  </si>
  <si>
    <t>Sublease Income</t>
  </si>
  <si>
    <t>Lease Expense -Total</t>
  </si>
  <si>
    <t>Advertising Expense, Supplemental</t>
  </si>
  <si>
    <t>Equity in Affiliates, Supplemental</t>
  </si>
  <si>
    <t>Minority Interest, Supplemental</t>
  </si>
  <si>
    <t>Income Taxes - Non-Recurring Tax Change</t>
  </si>
  <si>
    <t>Research &amp; Development Exp, Supplemental</t>
  </si>
  <si>
    <t>Audit Fees</t>
  </si>
  <si>
    <t>Audit-Related Fees</t>
  </si>
  <si>
    <t>Tax Fees</t>
  </si>
  <si>
    <t>All Other Fees</t>
  </si>
  <si>
    <t>Reported Recurring Revenue</t>
  </si>
  <si>
    <t>Reported Net Premiums Written</t>
  </si>
  <si>
    <t>Reported Total Revenue</t>
  </si>
  <si>
    <t>Reported Operating Revenue</t>
  </si>
  <si>
    <t>Reported Total Cost of Revenue</t>
  </si>
  <si>
    <t>Reported Total Sales, General &amp; Admin.</t>
  </si>
  <si>
    <t>Reported Gross Profit</t>
  </si>
  <si>
    <t>Reported Operating Profit</t>
  </si>
  <si>
    <t>Reported Operating Profit Margin</t>
  </si>
  <si>
    <t>Reported Ordinary Profit</t>
  </si>
  <si>
    <t>Reported Net Income After Tax</t>
  </si>
  <si>
    <t>Reported Basic EPS</t>
  </si>
  <si>
    <t>Reported Diluted EPS</t>
  </si>
  <si>
    <t>Reported Net Business Profits</t>
  </si>
  <si>
    <t>Islamic Income</t>
  </si>
  <si>
    <t>Zakat</t>
  </si>
  <si>
    <t>COVID-19 Non-Recurring Inc/Exp - Other</t>
  </si>
  <si>
    <t>COVID-19 One-time Provisions</t>
  </si>
  <si>
    <t>COVID-19 Restructuring Chrgs/Provisions</t>
  </si>
  <si>
    <t>COVID-19 Impairment of Long-Term Assets</t>
  </si>
  <si>
    <t>COVID-19 One-time Government Grants</t>
  </si>
  <si>
    <t>COVID-19 Inc Taxes - Non-Recurring</t>
  </si>
  <si>
    <t>Normalized EBIT</t>
  </si>
  <si>
    <t>Normalized EBITDA</t>
  </si>
  <si>
    <t>Tax &amp; Pension Items (VND Millions)</t>
  </si>
  <si>
    <t>Current Tax - Total</t>
  </si>
  <si>
    <t>Deferred Tax - Total</t>
  </si>
  <si>
    <t>Income Tax - Total</t>
  </si>
  <si>
    <t>Income Tax by Region - Total</t>
  </si>
  <si>
    <t>Domestic Pension Plan Expense</t>
  </si>
  <si>
    <t>Foreign Pension Plan Expense</t>
  </si>
  <si>
    <t>Post-Retirement Plan Expense</t>
  </si>
  <si>
    <t>Total Pension Expense</t>
  </si>
  <si>
    <t>Assumptions</t>
  </si>
  <si>
    <t>Total Plan Interest Cost</t>
  </si>
  <si>
    <t>Total Plan Service Cost</t>
  </si>
  <si>
    <t>Total Plan Expected Return</t>
  </si>
  <si>
    <t>Total Plan Other Expense</t>
  </si>
  <si>
    <t>Dividends and Capital Changes</t>
  </si>
  <si>
    <t>FPT Corp Ord Shs</t>
  </si>
  <si>
    <t>Cash Dividend</t>
  </si>
  <si>
    <t>VND 476.46 F</t>
  </si>
  <si>
    <t>VND 547.93 F</t>
  </si>
  <si>
    <t>VND 630.12 F</t>
  </si>
  <si>
    <t>VND 756.14 F</t>
  </si>
  <si>
    <t>VND 869.57 F</t>
  </si>
  <si>
    <t>(31-Dec) Pd.End </t>
  </si>
  <si>
    <t>VND 476.46 I</t>
  </si>
  <si>
    <t>VND 547.93 I</t>
  </si>
  <si>
    <t>VND 630.12 I</t>
  </si>
  <si>
    <t>VND 756.14 I</t>
  </si>
  <si>
    <t>VND 869.57 I</t>
  </si>
  <si>
    <t>(30-Jun) Pd.End </t>
  </si>
  <si>
    <t>Stock Dividend</t>
  </si>
  <si>
    <t>15.00 F</t>
  </si>
  <si>
    <t>20.00 F</t>
  </si>
  <si>
    <t>Dividend</t>
  </si>
  <si>
    <t>VND 0.98</t>
  </si>
  <si>
    <t>VND 0.99</t>
  </si>
  <si>
    <t>(30-Aug)Eff. </t>
  </si>
  <si>
    <t>(01-Sep)Eff. </t>
  </si>
  <si>
    <t>(12-Sep)Eff. </t>
  </si>
  <si>
    <t>VND 0.00</t>
  </si>
  <si>
    <t>(07-Jun)Eff. </t>
  </si>
  <si>
    <t>(05-Jun)Eff. </t>
  </si>
  <si>
    <t>(16-Jun)Eff. </t>
  </si>
  <si>
    <t>(27-Jun)Eff. </t>
  </si>
  <si>
    <t>(13-Jul)Eff. </t>
  </si>
  <si>
    <t>(24-Jun) </t>
  </si>
  <si>
    <t>(22-Jun) </t>
  </si>
  <si>
    <t>(13-Jul) </t>
  </si>
  <si>
    <t>(11-Jul) </t>
  </si>
  <si>
    <t>(07-Aug) </t>
  </si>
  <si>
    <t>Dividends &amp; Capital Changes After Dec-2023</t>
  </si>
  <si>
    <t>VND 1,000.00 I</t>
  </si>
  <si>
    <t>(31-Oct)Eff. </t>
  </si>
  <si>
    <t>(20-Jun)Eff. </t>
  </si>
  <si>
    <t>Scrip Issue</t>
  </si>
  <si>
    <t>20 : 3 Adj. Factor 0.87x</t>
  </si>
  <si>
    <t>(19-Jul) </t>
  </si>
  <si>
    <t>FPT Corp | Cash Flow                                31-Jul-2024 11:28</t>
  </si>
  <si>
    <t>Cash Flow</t>
  </si>
  <si>
    <t>Cash Flow-Operating Activities (VND Millions)</t>
  </si>
  <si>
    <t>Net Income/Starting Line</t>
  </si>
  <si>
    <t>Depreciation/Depletion</t>
  </si>
  <si>
    <t>Depreciation</t>
  </si>
  <si>
    <t>Amortization</t>
  </si>
  <si>
    <t>Deferred Taxes</t>
  </si>
  <si>
    <t>Non-Cash Items</t>
  </si>
  <si>
    <t>Unusual Items</t>
  </si>
  <si>
    <t>Other Non-Cash Items</t>
  </si>
  <si>
    <t>Changes in Working Capital</t>
  </si>
  <si>
    <t>Accounts Receivable</t>
  </si>
  <si>
    <t>Inventories</t>
  </si>
  <si>
    <t>Other Operating Cash Flow</t>
  </si>
  <si>
    <t>Cash from Operating Activities</t>
  </si>
  <si>
    <t>Cash Flow-Investing Activities (VND Millions)</t>
  </si>
  <si>
    <t>Capital Expenditures</t>
  </si>
  <si>
    <t xml:space="preserve">Technolgoy </t>
  </si>
  <si>
    <t>Telecommunication</t>
  </si>
  <si>
    <t>Education</t>
  </si>
  <si>
    <t>Purchase of Fixed Assets</t>
  </si>
  <si>
    <t>Other Investing Cash Flow Items, Total</t>
  </si>
  <si>
    <t>Sale of Fixed Assets</t>
  </si>
  <si>
    <t>Sale/Maturity of Investment</t>
  </si>
  <si>
    <t>Purchase of Investments</t>
  </si>
  <si>
    <t>Other Investing Cash Flow</t>
  </si>
  <si>
    <t>Cash from Investing Activities</t>
  </si>
  <si>
    <t>Cash Flow-Financing Activities (VND Millions)</t>
  </si>
  <si>
    <t>Financing Cash Flow Items</t>
  </si>
  <si>
    <t>Total Cash Dividends Paid</t>
  </si>
  <si>
    <t>Cash Dividends Paid - Common</t>
  </si>
  <si>
    <t>Issuance (Retirement) of Stock, Net</t>
  </si>
  <si>
    <t>Sale/Issuance of Common</t>
  </si>
  <si>
    <t>Repurchase/Retirement of Common</t>
  </si>
  <si>
    <t>Common Stock, Net</t>
  </si>
  <si>
    <t>Issuance (Retirement) of Debt, Net</t>
  </si>
  <si>
    <t>Net borrowings</t>
  </si>
  <si>
    <t>D/E Ratio change</t>
  </si>
  <si>
    <t>Long Term Debt Reduction</t>
  </si>
  <si>
    <t>Long Term Debt, Net</t>
  </si>
  <si>
    <t>Total Debt Issued</t>
  </si>
  <si>
    <t>Total Debt Reduction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</si>
  <si>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</si>
  <si>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</si>
  <si>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</si>
  <si>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</si>
  <si>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</si>
  <si>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Cash Interest Paid</t>
  </si>
  <si>
    <t>Cash Taxes Paid</t>
  </si>
  <si>
    <t>Lease liability Issued, Supplemental</t>
  </si>
  <si>
    <t>Lease liability Reduced, Supplemental</t>
  </si>
  <si>
    <t>Lease liability Net, Supplemental</t>
  </si>
  <si>
    <t>Share Based Payments, Supplemental</t>
  </si>
  <si>
    <t>Tax Payments - Employee Options&amp;Buy Back</t>
  </si>
  <si>
    <t>Net Changes in Working Capital</t>
  </si>
  <si>
    <t>Reported Cash from Operating Activities</t>
  </si>
  <si>
    <t>Reported Cash from Investing Activities</t>
  </si>
  <si>
    <t>Reported Cash from Financing Activities</t>
  </si>
  <si>
    <t>Free Cash Flow</t>
  </si>
  <si>
    <t>FPT Corp | Ratios - Key Metrics                                31-Jul-2024 11:29</t>
  </si>
  <si>
    <t>Ratios - Key Metrics</t>
  </si>
  <si>
    <t>Industry Median</t>
  </si>
  <si>
    <t>Profitability</t>
  </si>
  <si>
    <t>Gross Margin</t>
  </si>
  <si>
    <t>77.8% </t>
  </si>
  <si>
    <t>EBITDA Margin</t>
  </si>
  <si>
    <t>19.2% </t>
  </si>
  <si>
    <t>Operating Margin</t>
  </si>
  <si>
    <t>16.2% </t>
  </si>
  <si>
    <t>Pretax Margin</t>
  </si>
  <si>
    <t>17.3% </t>
  </si>
  <si>
    <t>Effective Tax Rate</t>
  </si>
  <si>
    <t>24.5% </t>
  </si>
  <si>
    <t>Net Margin</t>
  </si>
  <si>
    <t>12.6% </t>
  </si>
  <si>
    <t>DuPont/Earning Power</t>
  </si>
  <si>
    <t>Asset Turnover</t>
  </si>
  <si>
    <t>1.07 </t>
  </si>
  <si>
    <t>x Pretax Margin</t>
  </si>
  <si>
    <t>Pretax ROA</t>
  </si>
  <si>
    <t>17.2% </t>
  </si>
  <si>
    <t>x Leverage (Assets/Equity)</t>
  </si>
  <si>
    <t>1.62 </t>
  </si>
  <si>
    <t>Pretax ROE</t>
  </si>
  <si>
    <t>29.7% </t>
  </si>
  <si>
    <t>x Tax Complement</t>
  </si>
  <si>
    <t>0.75 </t>
  </si>
  <si>
    <t>ROE</t>
  </si>
  <si>
    <t>24.8% </t>
  </si>
  <si>
    <t>x Earnings Retention</t>
  </si>
  <si>
    <t>0.54 </t>
  </si>
  <si>
    <t>Reinvestment Rate</t>
  </si>
  <si>
    <t>12.7% </t>
  </si>
  <si>
    <t>Liquidity</t>
  </si>
  <si>
    <t>Quick Ratio</t>
  </si>
  <si>
    <t>1.83 </t>
  </si>
  <si>
    <t>Current Ratio</t>
  </si>
  <si>
    <t>1.88 </t>
  </si>
  <si>
    <t>Times Interest Earned</t>
  </si>
  <si>
    <t>30.8 </t>
  </si>
  <si>
    <t>Cash Cycle (Days)</t>
  </si>
  <si>
    <t>(8.5) </t>
  </si>
  <si>
    <t>Leverage</t>
  </si>
  <si>
    <t>Assets/Equity</t>
  </si>
  <si>
    <t>Debt/Equity</t>
  </si>
  <si>
    <t>0.07 </t>
  </si>
  <si>
    <t>% LT Debt to Total Capital</t>
  </si>
  <si>
    <t>4.6% </t>
  </si>
  <si>
    <t>(Total Debt - Cash) / EBITDA</t>
  </si>
  <si>
    <t>(0.79) </t>
  </si>
  <si>
    <t>-</t>
  </si>
  <si>
    <t>Operating</t>
  </si>
  <si>
    <t>A/R Turnover</t>
  </si>
  <si>
    <t>4.0 </t>
  </si>
  <si>
    <t>Avg. A/R Days</t>
  </si>
  <si>
    <t>91.3 </t>
  </si>
  <si>
    <t>Inv Turnover</t>
  </si>
  <si>
    <t>36.7 </t>
  </si>
  <si>
    <t>Avg. Inventory Days</t>
  </si>
  <si>
    <t>11.1 </t>
  </si>
  <si>
    <t>Avg. A/P Days</t>
  </si>
  <si>
    <t>103.3 </t>
  </si>
  <si>
    <t>Fixed Asset Turnover</t>
  </si>
  <si>
    <t>10.34 </t>
  </si>
  <si>
    <t>WC / Sales Growth</t>
  </si>
  <si>
    <t>0.7% </t>
  </si>
  <si>
    <t>Bad Debt Allowance (% of A/R)</t>
  </si>
  <si>
    <t>2.8% </t>
  </si>
  <si>
    <t>ROIC</t>
  </si>
  <si>
    <t>- </t>
  </si>
  <si>
    <t>Revenue per Employee (VND)</t>
  </si>
  <si>
    <t>VND978,982,768.9</t>
  </si>
  <si>
    <t>VND1,003,849,795.6</t>
  </si>
  <si>
    <t>VND1,051,355,944.8</t>
  </si>
  <si>
    <t>VND1,105,933,750.8</t>
  </si>
  <si>
    <t>VND1,161,927,808.9</t>
  </si>
  <si>
    <t xml:space="preserve">D&amp;A Expense </t>
  </si>
  <si>
    <t>FY</t>
  </si>
  <si>
    <t>VND (VND millions)</t>
  </si>
  <si>
    <t>Depreciation Expense</t>
  </si>
  <si>
    <r>
      <rPr>
        <rFont val="Calibri"/>
        <color rgb="FF000000"/>
        <sz val="11.0"/>
      </rPr>
      <t xml:space="preserve">Capital Expenditures </t>
    </r>
    <r>
      <rPr>
        <rFont val="Calibri"/>
        <color rgb="FFFF0000"/>
        <sz val="11.0"/>
      </rPr>
      <t>(negative numbers in the statement means cash outflow)</t>
    </r>
  </si>
  <si>
    <r>
      <rPr>
        <rFont val="Calibri"/>
        <color rgb="FF000000"/>
        <sz val="11.0"/>
      </rPr>
      <t xml:space="preserve">Change in Working Capital </t>
    </r>
    <r>
      <rPr>
        <rFont val="Calibri"/>
        <color rgb="FFFF0000"/>
        <sz val="11.0"/>
      </rPr>
      <t>(negative numbers in the statement means cash outflow)</t>
    </r>
  </si>
  <si>
    <t>Net Borrowing</t>
  </si>
  <si>
    <t>FCFE (FV)</t>
  </si>
  <si>
    <t>FCFE</t>
  </si>
  <si>
    <t>Step 1: Estimate your Future FCFE</t>
  </si>
  <si>
    <t>g</t>
  </si>
  <si>
    <t xml:space="preserve">PV terminal </t>
  </si>
  <si>
    <t>PV 5 years @ 20,49%</t>
  </si>
  <si>
    <t>DCF</t>
  </si>
  <si>
    <t xml:space="preserve"> </t>
  </si>
  <si>
    <t xml:space="preserve">Intrinsic Value </t>
  </si>
  <si>
    <t>Intrinsic Value</t>
  </si>
  <si>
    <t>Market Value</t>
  </si>
  <si>
    <t>As 24 Dec 2024</t>
  </si>
  <si>
    <t>SELL</t>
  </si>
  <si>
    <t>diff</t>
  </si>
  <si>
    <t>Capital Expenditure projection</t>
  </si>
  <si>
    <t>SP_ENTITY_NAME</t>
  </si>
  <si>
    <t>SP_ENTITY_ID</t>
  </si>
  <si>
    <t>Market cap</t>
  </si>
  <si>
    <t>TEV</t>
  </si>
  <si>
    <t>Rev</t>
  </si>
  <si>
    <t>Gross profit</t>
  </si>
  <si>
    <t>EBTIDA</t>
  </si>
  <si>
    <t>Net income</t>
  </si>
  <si>
    <t xml:space="preserve">PE </t>
  </si>
  <si>
    <t>PV</t>
  </si>
  <si>
    <t>CMC Corporation (HOSE:CMG)</t>
  </si>
  <si>
    <t>iSoftStone Information Technology (Group) Co., Ltd. (SZSE:301236)</t>
  </si>
  <si>
    <t>Coforge Limited (NSEI:COFORGE)</t>
  </si>
  <si>
    <t>SCSK Corporation (TSE:9719)</t>
  </si>
  <si>
    <t>Persistent Systems Limited (NSEI:PERSISTENT)</t>
  </si>
  <si>
    <t>Mphasis Limited (BSE:526299)</t>
  </si>
  <si>
    <t>Chinasoft International Limited (SEHK:354)</t>
  </si>
  <si>
    <t>DHC Software Co.,Ltd. (SZSE:002065)</t>
  </si>
  <si>
    <t>Digital China Holdings Limited (SEHK:861)</t>
  </si>
  <si>
    <t>NM</t>
  </si>
  <si>
    <t>NS Solutions Corporation (TSE:2327)</t>
  </si>
  <si>
    <t>Otsuka Corporation (TSE:4768)</t>
  </si>
  <si>
    <t>BIPROGY Inc. (TSE:8056)</t>
  </si>
  <si>
    <t>NA</t>
  </si>
  <si>
    <t>Densan System Holdings Co., Ltd. (TSE:4072)</t>
  </si>
  <si>
    <t>NEC Networks &amp; System Integration Corporation (TSE:1973)</t>
  </si>
  <si>
    <t>Digital China Information Service Group Company Ltd. (SZSE:000555)</t>
  </si>
  <si>
    <t>Tata Technologies Limited (NSEI:TATATECH)</t>
  </si>
  <si>
    <t>Posco Dx Company Ltd. (KOSE:A022100)</t>
  </si>
  <si>
    <t>OBIC Co.,Ltd. (TSE:4684)</t>
  </si>
  <si>
    <t>TIS Inc. (TSE:3626)</t>
  </si>
  <si>
    <t>MFEC Public Company Limited (SET:MFEC)</t>
  </si>
  <si>
    <t>FPT Corporation (HOSE:FPT)</t>
  </si>
  <si>
    <t>Minimum</t>
  </si>
  <si>
    <t/>
  </si>
  <si>
    <t>Median</t>
  </si>
  <si>
    <t>Average</t>
  </si>
  <si>
    <t>Maximum</t>
  </si>
  <si>
    <t>Relative Valuation - in mn VND (Except for forecasted price)</t>
  </si>
  <si>
    <t>FPT Corp</t>
  </si>
  <si>
    <t>Net income (F)</t>
  </si>
  <si>
    <t># no. of shares outstanding (A)</t>
  </si>
  <si>
    <t>EPS (F)</t>
  </si>
  <si>
    <t>current P/E (average in the industry)</t>
  </si>
  <si>
    <t>Forecasted price (in VND)</t>
  </si>
  <si>
    <t>Price</t>
  </si>
  <si>
    <t xml:space="preserve">Weighted </t>
  </si>
  <si>
    <t>Weighted price</t>
  </si>
  <si>
    <t xml:space="preserve">FCFE Model </t>
  </si>
  <si>
    <t>Peers Model</t>
  </si>
  <si>
    <t xml:space="preserve">Final Price </t>
  </si>
  <si>
    <t xml:space="preserve">hold </t>
  </si>
  <si>
    <t xml:space="preserve">Peers </t>
  </si>
  <si>
    <t>Market cap ($M)</t>
  </si>
  <si>
    <t>Revenue ($M)</t>
  </si>
  <si>
    <t xml:space="preserve">Historical </t>
  </si>
  <si>
    <t xml:space="preserve">Forecast </t>
  </si>
  <si>
    <t>FPT Revenue Breakdown (mil VND)</t>
  </si>
  <si>
    <t>2024F</t>
  </si>
  <si>
    <t>2025F</t>
  </si>
  <si>
    <t>2026F</t>
  </si>
  <si>
    <t>2027F</t>
  </si>
  <si>
    <t>2028F</t>
  </si>
  <si>
    <t>2029F</t>
  </si>
  <si>
    <t>Total Revenue (1) + (2) + (3)</t>
  </si>
  <si>
    <t>terminal growth</t>
  </si>
  <si>
    <t xml:space="preserve">%growth </t>
  </si>
  <si>
    <t>GDP</t>
  </si>
  <si>
    <t>inflation</t>
  </si>
  <si>
    <t>Technology (1)</t>
  </si>
  <si>
    <t xml:space="preserve">% weight </t>
  </si>
  <si>
    <t>% growth</t>
  </si>
  <si>
    <t xml:space="preserve">FPT Software </t>
  </si>
  <si>
    <t>%growth</t>
  </si>
  <si>
    <t>%weight in Technology</t>
  </si>
  <si>
    <t xml:space="preserve">FPT Information System </t>
  </si>
  <si>
    <t>Telecommunication (2)</t>
  </si>
  <si>
    <t>FPT Telecom</t>
  </si>
  <si>
    <t>&gt;&gt; CAGR of telecommunication services revenue growth</t>
  </si>
  <si>
    <t>%weight in Telecommunication</t>
  </si>
  <si>
    <t>FPT Online</t>
  </si>
  <si>
    <t>&gt;&gt; despite digital ads is growing but market share of FPT online as agency is limited</t>
  </si>
  <si>
    <t>Education, Investment and Others(3)</t>
  </si>
  <si>
    <t>Active students</t>
  </si>
  <si>
    <t>Average tuition fee</t>
  </si>
  <si>
    <t xml:space="preserve">Test </t>
  </si>
  <si>
    <t xml:space="preserve">&gt;&gt; market share </t>
  </si>
  <si>
    <t>Digital transformation</t>
  </si>
  <si>
    <t>CAGR</t>
  </si>
  <si>
    <t xml:space="preserve">Global IT services </t>
  </si>
  <si>
    <t>Japan</t>
  </si>
  <si>
    <t>US</t>
  </si>
  <si>
    <t>EU</t>
  </si>
  <si>
    <t>APAC</t>
  </si>
  <si>
    <t>Other IT services, software (incl. domestic services)</t>
  </si>
  <si>
    <t xml:space="preserve">Revenue by foreign markets </t>
  </si>
  <si>
    <t>Test</t>
  </si>
  <si>
    <t>weighted</t>
  </si>
  <si>
    <t xml:space="preserve">5G coverage </t>
  </si>
  <si>
    <t>Mobile broadband subscribers</t>
  </si>
  <si>
    <t>Internet users</t>
  </si>
  <si>
    <t>Vietnam telecommunications market size</t>
  </si>
  <si>
    <t>VND million</t>
  </si>
  <si>
    <t xml:space="preserve">IT services revenue </t>
  </si>
  <si>
    <t>Global share</t>
  </si>
  <si>
    <t>Albania</t>
  </si>
  <si>
    <t>Algeria</t>
  </si>
  <si>
    <t xml:space="preserve">SEA share </t>
  </si>
  <si>
    <t>Angola</t>
  </si>
  <si>
    <t>Argentina</t>
  </si>
  <si>
    <t>Armenia</t>
  </si>
  <si>
    <t>Growth rev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</si>
  <si>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</si>
  <si>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</si>
  <si>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</si>
  <si>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</si>
  <si>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</si>
  <si>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</si>
  <si>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</si>
  <si>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</si>
  <si>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</si>
  <si>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</si>
  <si>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</si>
  <si>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</si>
  <si>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 xml:space="preserve">Cloud services </t>
  </si>
  <si>
    <t>Botswana</t>
  </si>
  <si>
    <t xml:space="preserve">AI services </t>
  </si>
  <si>
    <t>Brazil</t>
  </si>
  <si>
    <t>Brunei Darussalam</t>
  </si>
  <si>
    <t>Bulgaria</t>
  </si>
  <si>
    <t>AI &amp; Cloud</t>
  </si>
  <si>
    <t>Burkina Faso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</si>
  <si>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</si>
  <si>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</si>
  <si>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</si>
  <si>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</si>
  <si>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</si>
  <si>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</si>
  <si>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</si>
  <si>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</si>
  <si>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</si>
  <si>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</si>
  <si>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</si>
  <si>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</si>
  <si>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</si>
  <si>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</si>
  <si>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</si>
  <si>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</si>
  <si>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</si>
  <si>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</si>
  <si>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</si>
  <si>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</si>
  <si>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</si>
  <si>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</si>
  <si>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</si>
  <si>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</si>
  <si>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</si>
  <si>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</si>
  <si>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</si>
  <si>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</si>
  <si>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</si>
  <si>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</si>
  <si>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</si>
  <si>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</si>
  <si>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</si>
  <si>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</si>
  <si>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</si>
  <si>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</si>
  <si>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</si>
  <si>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</si>
  <si>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</si>
  <si>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</si>
  <si>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</si>
  <si>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</si>
  <si>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</si>
  <si>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</si>
  <si>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</si>
  <si>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</si>
  <si>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</si>
  <si>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</si>
  <si>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</si>
  <si>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</si>
  <si>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</si>
  <si>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</si>
  <si>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</si>
  <si>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</si>
  <si>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</si>
  <si>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Lithuania</t>
  </si>
  <si>
    <t>Luxembourg</t>
  </si>
  <si>
    <t>Madagascar</t>
  </si>
  <si>
    <t>Malawi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</si>
  <si>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</si>
  <si>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</si>
  <si>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</si>
  <si>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</si>
  <si>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</si>
  <si>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</si>
  <si>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</si>
  <si>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</si>
  <si>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</si>
  <si>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</si>
  <si>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</si>
  <si>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</si>
  <si>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</si>
  <si>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</si>
  <si>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</si>
  <si>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</si>
  <si>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</si>
  <si>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</si>
  <si>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</si>
  <si>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</si>
  <si>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</si>
  <si>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</si>
  <si>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</si>
  <si>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</si>
  <si>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</si>
  <si>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</si>
  <si>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</si>
  <si>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</si>
  <si>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</si>
  <si>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</si>
  <si>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</si>
  <si>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</si>
  <si>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</si>
  <si>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</si>
  <si>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</si>
  <si>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</si>
  <si>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</si>
  <si>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</si>
  <si>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</si>
  <si>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</si>
  <si>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</si>
  <si>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</si>
  <si>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</si>
  <si>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</si>
  <si>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</si>
  <si>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</si>
  <si>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</si>
  <si>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</si>
  <si>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</si>
  <si>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</si>
  <si>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</si>
  <si>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</si>
  <si>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</si>
  <si>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</si>
  <si>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</si>
  <si>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</si>
  <si>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</si>
  <si>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</si>
  <si>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</si>
  <si>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</si>
  <si>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</si>
  <si>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</si>
  <si>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</si>
  <si>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</si>
  <si>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Vietnam</t>
  </si>
  <si>
    <t>Zambia</t>
  </si>
  <si>
    <t>Zimbabwe</t>
  </si>
  <si>
    <t>FPT Software</t>
  </si>
  <si>
    <t>FPT IS</t>
  </si>
  <si>
    <t>FPT Education &amp; Investment</t>
  </si>
  <si>
    <t>Average tuition fee per pax (vnd'000)</t>
  </si>
  <si>
    <t>% growth Active students</t>
  </si>
  <si>
    <t xml:space="preserve">% growth Average tuition fee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</si>
</sst>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_(* #,##0.000_);_(* \(#,##0.000\);_(* &quot;-&quot;_);_(@_)"/>
    <numFmt numFmtId="165" formatCode="0.00%;[Red]\(0.00%\)"/>
    <numFmt numFmtId="166" formatCode="_(* #,##0_);_(* \(#,##0\);_(* &quot;-&quot;_);_(@_)"/>
    <numFmt numFmtId="167" formatCode="#,##0.0_);[Red]\(#,##0.0\)"/>
    <numFmt numFmtId="168" formatCode="0.0%"/>
    <numFmt numFmtId="169" formatCode="0.0%;[Red]\(0.0%\)"/>
    <numFmt numFmtId="170" formatCode="_(* #,##0.00_);_(* \(#,##0.00\);_(* &quot;-&quot;_);_(@_)"/>
    <numFmt numFmtId="171" formatCode="_(&quot;$&quot;* #,##0.00_);_(&quot;$&quot;* \(#,##0.00\);_(&quot;$&quot;* &quot;-&quot;??_);_(@_)"/>
    <numFmt numFmtId="172" formatCode="_(* #,##0.00_);_(* \(#,##0.00\);_(* &quot;-&quot;??_);_(@_)"/>
    <numFmt numFmtId="173" formatCode="_(&quot;$&quot;* #,##0.0000_);_(&quot;$&quot;* \(#,##0.0000\);_(&quot;$&quot;* &quot;-&quot;??_);_(@_)"/>
    <numFmt numFmtId="174" formatCode="&quot;₫&quot;#,##0.00_);[Red]\(&quot;₫&quot;#,##0.00\)"/>
    <numFmt numFmtId="175" formatCode="_(&quot;₫&quot;* #,##0_);_(&quot;₫&quot;* \(#,##0\);_(&quot;₫&quot;* &quot;-&quot;_);_(@_)"/>
    <numFmt numFmtId="176" formatCode="#,##0.00;\(#,##0.00\)"/>
    <numFmt numFmtId="177" formatCode="#,##0.0;\(#,##0.0\)"/>
    <numFmt numFmtId="178" formatCode="#,##0;\(#,##0\)"/>
    <numFmt numFmtId="179" formatCode="0.0&quot;x&quot;"/>
    <numFmt numFmtId="180" formatCode="_(* #,##0.000_);_(* \(#,##0.000\);_(* &quot;-&quot;???_);_(@_)"/>
    <numFmt numFmtId="181" formatCode="_(* #,##0.0000_);_(* \(#,##0.0000\);_(* &quot;-&quot;_);_(@_)"/>
  </numFmts>
  <fonts count="41">
    <font>
      <sz val="11.0"/>
      <color theme="1"/>
      <name val="Calibri"/>
      <scheme val="minor"/>
    </font>
    <font>
      <b/>
      <sz val="8.0"/>
      <color rgb="FF000000"/>
      <name val="Tahoma"/>
    </font>
    <font>
      <sz val="10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Calibri"/>
    </font>
    <font>
      <b/>
      <sz val="11.0"/>
      <color rgb="FF333333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0.0"/>
      <color rgb="FFFF0000"/>
      <name val="Calibri"/>
    </font>
    <font>
      <b/>
      <sz val="10.0"/>
      <color theme="0"/>
      <name val="Calibri"/>
    </font>
    <font>
      <sz val="11.0"/>
      <color rgb="FF154DA2"/>
      <name val="Calibri"/>
    </font>
    <font>
      <sz val="10.0"/>
      <color rgb="FF154DA2"/>
      <name val="Calibri"/>
    </font>
    <font>
      <b/>
      <sz val="11.0"/>
      <color theme="0"/>
      <name val="Calibri"/>
    </font>
    <font>
      <sz val="10.0"/>
      <color rgb="FFDC0A0A"/>
      <name val="Calibri"/>
    </font>
    <font>
      <i/>
      <sz val="11.0"/>
      <color rgb="FF000000"/>
      <name val="Calibri"/>
    </font>
    <font>
      <sz val="11.0"/>
      <color rgb="FF000000"/>
      <name val="Calibri"/>
    </font>
    <font>
      <sz val="11.0"/>
      <color theme="0"/>
      <name val="Calibri"/>
    </font>
    <font>
      <b/>
      <sz val="11.0"/>
      <color rgb="FFC00000"/>
      <name val="Calibri"/>
    </font>
    <font>
      <b/>
      <sz val="14.0"/>
      <color theme="1"/>
      <name val="Calibri"/>
    </font>
    <font>
      <b/>
      <sz val="14.0"/>
      <color theme="0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2.0"/>
      <color rgb="FFC00000"/>
      <name val="Calibri"/>
    </font>
    <font>
      <i/>
      <sz val="12.0"/>
      <color theme="1"/>
      <name val="Calibri"/>
    </font>
    <font>
      <i/>
      <sz val="11.0"/>
      <color theme="1"/>
      <name val="Calibri"/>
    </font>
    <font>
      <i/>
      <sz val="12.0"/>
      <color rgb="FFC00000"/>
      <name val="Calibri"/>
    </font>
    <font>
      <sz val="12.0"/>
      <color theme="1"/>
      <name val="Calibri"/>
    </font>
    <font>
      <sz val="11.0"/>
      <color rgb="FFC00000"/>
      <name val="Calibri"/>
    </font>
    <font>
      <b/>
      <sz val="11.0"/>
      <color rgb="FF4FB945"/>
      <name val="Calibri"/>
    </font>
    <font>
      <i/>
      <sz val="11.0"/>
      <color rgb="FFA8D08D"/>
      <name val="Calibri"/>
    </font>
    <font>
      <sz val="12.0"/>
      <color rgb="FFC00000"/>
      <name val="Calibri"/>
    </font>
    <font>
      <i/>
      <sz val="11.0"/>
      <color rgb="FF7B7B7B"/>
      <name val="Calibri"/>
    </font>
    <font>
      <i/>
      <sz val="11.0"/>
      <color rgb="FFC00000"/>
      <name val="Calibri"/>
    </font>
    <font>
      <sz val="11.0"/>
      <color rgb="FF9CC2E5"/>
      <name val="Calibri"/>
    </font>
    <font>
      <sz val="11.0"/>
      <color rgb="FF8EAADB"/>
      <name val="Calibri"/>
    </font>
    <font>
      <i/>
      <sz val="11.0"/>
      <color rgb="FF8EAADB"/>
      <name val="Calibri"/>
    </font>
    <font>
      <i/>
      <sz val="11.0"/>
      <color rgb="FF548135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ABC4EA"/>
        <bgColor rgb="FFABC4EA"/>
      </patternFill>
    </fill>
    <fill>
      <patternFill patternType="solid">
        <fgColor rgb="FFF5F6FA"/>
        <bgColor rgb="FFF5F6FA"/>
      </patternFill>
    </fill>
    <fill>
      <patternFill patternType="solid">
        <fgColor rgb="FFE0E0E0"/>
        <bgColor rgb="FFE0E0E0"/>
      </patternFill>
    </fill>
    <fill>
      <patternFill patternType="solid">
        <fgColor rgb="FF309724"/>
        <bgColor rgb="FF309724"/>
      </patternFill>
    </fill>
    <fill>
      <patternFill patternType="solid">
        <fgColor rgb="FFA2D09C"/>
        <bgColor rgb="FFA2D09C"/>
      </patternFill>
    </fill>
    <fill>
      <patternFill patternType="solid">
        <fgColor rgb="FFC8D7DE"/>
        <bgColor rgb="FFC8D7DE"/>
      </patternFill>
    </fill>
    <fill>
      <patternFill patternType="solid">
        <fgColor rgb="FFE9EFF6"/>
        <bgColor rgb="FFE9EFF6"/>
      </patternFill>
    </fill>
    <fill>
      <patternFill patternType="solid">
        <fgColor rgb="FFF2F4F9"/>
        <bgColor rgb="FFF2F4F9"/>
      </patternFill>
    </fill>
    <fill>
      <patternFill patternType="solid">
        <fgColor rgb="FFFEF2CB"/>
        <bgColor rgb="FFFEF2CB"/>
      </patternFill>
    </fill>
    <fill>
      <patternFill patternType="solid">
        <fgColor rgb="FF4FB945"/>
        <bgColor rgb="FF4FB945"/>
      </patternFill>
    </fill>
    <fill>
      <patternFill patternType="solid">
        <fgColor rgb="FFFFFFFF"/>
        <bgColor rgb="FFFFFFFF"/>
      </patternFill>
    </fill>
    <fill>
      <patternFill patternType="solid">
        <fgColor rgb="FFF3F6FB"/>
        <bgColor rgb="FFF3F6FB"/>
      </patternFill>
    </fill>
    <fill>
      <patternFill patternType="solid">
        <fgColor rgb="FF034EA2"/>
        <bgColor rgb="FF034EA2"/>
      </patternFill>
    </fill>
    <fill>
      <patternFill patternType="solid">
        <fgColor theme="0"/>
        <bgColor theme="0"/>
      </patternFill>
    </fill>
    <fill>
      <patternFill patternType="solid">
        <fgColor rgb="FF4FB946"/>
        <bgColor rgb="FF4FB94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154DA2"/>
        <bgColor rgb="FF154DA2"/>
      </patternFill>
    </fill>
  </fills>
  <borders count="47">
    <border/>
    <border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right style="medium">
        <color rgb="FFCCCCCC"/>
      </right>
      <top style="medium">
        <color rgb="FFC1C1C1"/>
      </top>
      <bottom style="medium">
        <color rgb="FFC1C1C1"/>
      </bottom>
    </border>
    <border>
      <left/>
      <right/>
      <top style="medium">
        <color rgb="FFC1C1C1"/>
      </top>
      <bottom style="medium">
        <color rgb="FFC1C1C1"/>
      </bottom>
    </border>
    <border>
      <left/>
      <right/>
      <top/>
      <bottom/>
    </border>
    <border>
      <left/>
      <right style="medium">
        <color rgb="FFCCCCCC"/>
      </right>
      <top style="medium">
        <color rgb="FFE5EBF4"/>
      </top>
      <bottom/>
    </border>
    <border>
      <left/>
      <right/>
      <top style="medium">
        <color rgb="FFE5EBF4"/>
      </top>
      <bottom/>
    </border>
    <border>
      <right style="medium">
        <color rgb="FFCCCCCC"/>
      </right>
      <top style="medium">
        <color rgb="FFE5EBF4"/>
      </top>
    </border>
    <border>
      <top style="medium">
        <color rgb="FFE5EBF4"/>
      </top>
    </border>
    <border>
      <left style="medium">
        <color rgb="FFFFFFFF"/>
      </left>
      <top style="medium">
        <color rgb="FFFFFFFF"/>
      </top>
      <bottom style="medium">
        <color rgb="FFC1C1C1"/>
      </bottom>
    </border>
    <border>
      <right style="medium">
        <color rgb="FFFFFFFF"/>
      </right>
      <top style="medium">
        <color rgb="FFFFFFFF"/>
      </top>
      <bottom style="medium">
        <color rgb="FFC1C1C1"/>
      </bottom>
    </border>
    <border>
      <left/>
      <top style="medium">
        <color rgb="FFC1C1C1"/>
      </top>
      <bottom style="medium">
        <color rgb="FFC1C1C1"/>
      </bottom>
    </border>
    <border>
      <right style="medium">
        <color rgb="FFCCCCCC"/>
      </right>
      <top style="medium">
        <color rgb="FFC1C1C1"/>
      </top>
      <bottom style="medium">
        <color rgb="FFC1C1C1"/>
      </bottom>
    </border>
    <border>
      <left/>
      <top style="medium">
        <color rgb="FFE5EBF4"/>
      </top>
      <bottom style="medium">
        <color rgb="FFE5EBF4"/>
      </bottom>
    </border>
    <border>
      <right style="medium">
        <color rgb="FFCCCCCC"/>
      </right>
      <top style="medium">
        <color rgb="FFE5EBF4"/>
      </top>
      <bottom style="medium">
        <color rgb="FFE5EBF4"/>
      </bottom>
    </border>
    <border>
      <top style="medium">
        <color rgb="FFE5EBF4"/>
      </top>
      <bottom style="medium">
        <color rgb="FFE5EBF4"/>
      </bottom>
    </border>
    <border>
      <left/>
      <top/>
      <bottom style="medium">
        <color rgb="FFE5EBF4"/>
      </bottom>
    </border>
    <border>
      <right/>
      <top/>
      <bottom style="medium">
        <color rgb="FFE5EBF4"/>
      </bottom>
    </border>
    <border>
      <left/>
      <top style="medium">
        <color rgb="FFE5EBF4"/>
      </top>
    </border>
    <border>
      <left/>
    </border>
    <border>
      <right style="medium">
        <color rgb="FFCCCCCC"/>
      </right>
    </border>
    <border>
      <left/>
      <bottom style="medium">
        <color rgb="FFE5EBF4"/>
      </bottom>
    </border>
    <border>
      <right style="medium">
        <color rgb="FFCCCCCC"/>
      </right>
      <bottom style="medium">
        <color rgb="FFE5EBF4"/>
      </bottom>
    </border>
    <border>
      <left style="medium">
        <color rgb="FFCCCCCC"/>
      </left>
      <right/>
      <top style="medium">
        <color rgb="FFE5EBF4"/>
      </top>
    </border>
    <border>
      <left style="medium">
        <color rgb="FFCCCCCC"/>
      </left>
      <right/>
      <bottom/>
    </border>
    <border>
      <left/>
      <bottom/>
    </border>
    <border>
      <right style="medium">
        <color rgb="FFCCCCCC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2" fontId="5" numFmtId="0" xfId="0" applyAlignment="1" applyBorder="1" applyFill="1" applyFont="1">
      <alignment horizontal="left"/>
    </xf>
    <xf borderId="2" fillId="2" fontId="5" numFmtId="0" xfId="0" applyAlignment="1" applyBorder="1" applyFont="1">
      <alignment horizontal="right"/>
    </xf>
    <xf borderId="3" fillId="3" fontId="3" numFmtId="0" xfId="0" applyAlignment="1" applyBorder="1" applyFill="1" applyFont="1">
      <alignment horizontal="left"/>
    </xf>
    <xf borderId="4" fillId="4" fontId="6" numFmtId="0" xfId="0" applyAlignment="1" applyBorder="1" applyFill="1" applyFont="1">
      <alignment horizontal="center" vertical="top"/>
    </xf>
    <xf borderId="4" fillId="5" fontId="7" numFmtId="0" xfId="0" applyAlignment="1" applyBorder="1" applyFill="1" applyFont="1">
      <alignment horizontal="center" vertical="top"/>
    </xf>
    <xf borderId="4" fillId="6" fontId="8" numFmtId="0" xfId="0" applyAlignment="1" applyBorder="1" applyFill="1" applyFont="1">
      <alignment horizontal="center" vertical="top"/>
    </xf>
    <xf borderId="5" fillId="7" fontId="2" numFmtId="0" xfId="0" applyAlignment="1" applyBorder="1" applyFill="1" applyFont="1">
      <alignment horizontal="left"/>
    </xf>
    <xf borderId="6" fillId="8" fontId="2" numFmtId="0" xfId="0" applyAlignment="1" applyBorder="1" applyFill="1" applyFont="1">
      <alignment horizontal="left"/>
    </xf>
    <xf borderId="7" fillId="8" fontId="2" numFmtId="38" xfId="0" applyAlignment="1" applyBorder="1" applyFont="1" applyNumberFormat="1">
      <alignment horizontal="right" shrinkToFit="0" wrapText="1"/>
    </xf>
    <xf borderId="6" fillId="9" fontId="2" numFmtId="0" xfId="0" applyAlignment="1" applyBorder="1" applyFill="1" applyFont="1">
      <alignment horizontal="left"/>
    </xf>
    <xf borderId="7" fillId="3" fontId="2" numFmtId="38" xfId="0" applyAlignment="1" applyBorder="1" applyFont="1" applyNumberFormat="1">
      <alignment horizontal="right" shrinkToFit="0" wrapText="1"/>
    </xf>
    <xf borderId="8" fillId="0" fontId="2" numFmtId="0" xfId="0" applyAlignment="1" applyBorder="1" applyFont="1">
      <alignment horizontal="left"/>
    </xf>
    <xf borderId="9" fillId="0" fontId="2" numFmtId="38" xfId="0" applyAlignment="1" applyBorder="1" applyFont="1" applyNumberFormat="1">
      <alignment horizontal="right" shrinkToFit="0" wrapText="1"/>
    </xf>
    <xf borderId="7" fillId="10" fontId="2" numFmtId="0" xfId="0" applyAlignment="1" applyBorder="1" applyFill="1" applyFont="1">
      <alignment horizontal="left" shrinkToFit="0" wrapText="1"/>
    </xf>
    <xf borderId="7" fillId="10" fontId="2" numFmtId="38" xfId="0" applyAlignment="1" applyBorder="1" applyFont="1" applyNumberFormat="1">
      <alignment horizontal="right" shrinkToFit="0" wrapText="1"/>
    </xf>
    <xf borderId="5" fillId="10" fontId="9" numFmtId="0" xfId="0" applyBorder="1" applyFont="1"/>
    <xf borderId="6" fillId="10" fontId="2" numFmtId="0" xfId="0" applyAlignment="1" applyBorder="1" applyFont="1">
      <alignment horizontal="left"/>
    </xf>
    <xf borderId="9" fillId="0" fontId="2" numFmtId="0" xfId="0" applyAlignment="1" applyBorder="1" applyFont="1">
      <alignment horizontal="left" shrinkToFit="0" wrapText="1"/>
    </xf>
    <xf borderId="7" fillId="10" fontId="10" numFmtId="38" xfId="0" applyAlignment="1" applyBorder="1" applyFont="1" applyNumberFormat="1">
      <alignment horizontal="right" shrinkToFit="0" wrapText="1"/>
    </xf>
    <xf borderId="7" fillId="10" fontId="10" numFmtId="9" xfId="0" applyAlignment="1" applyBorder="1" applyFont="1" applyNumberFormat="1">
      <alignment horizontal="right" shrinkToFit="0" wrapText="1"/>
    </xf>
    <xf borderId="5" fillId="10" fontId="9" numFmtId="9" xfId="0" applyBorder="1" applyFont="1" applyNumberFormat="1"/>
    <xf borderId="5" fillId="10" fontId="9" numFmtId="38" xfId="0" applyBorder="1" applyFont="1" applyNumberFormat="1"/>
    <xf borderId="7" fillId="10" fontId="2" numFmtId="164" xfId="0" applyAlignment="1" applyBorder="1" applyFont="1" applyNumberFormat="1">
      <alignment horizontal="right" shrinkToFit="0" wrapText="1"/>
    </xf>
    <xf borderId="7" fillId="10" fontId="2" numFmtId="9" xfId="0" applyAlignment="1" applyBorder="1" applyFont="1" applyNumberFormat="1">
      <alignment horizontal="right" shrinkToFit="0" wrapText="1"/>
    </xf>
    <xf borderId="5" fillId="10" fontId="9" numFmtId="164" xfId="0" applyBorder="1" applyFont="1" applyNumberFormat="1"/>
    <xf borderId="9" fillId="0" fontId="2" numFmtId="165" xfId="0" applyAlignment="1" applyBorder="1" applyFont="1" applyNumberFormat="1">
      <alignment horizontal="right" shrinkToFit="0" wrapText="1"/>
    </xf>
    <xf borderId="9" fillId="0" fontId="2" numFmtId="40" xfId="0" applyAlignment="1" applyBorder="1" applyFont="1" applyNumberFormat="1">
      <alignment horizontal="right" shrinkToFit="0" wrapText="1"/>
    </xf>
    <xf borderId="10" fillId="2" fontId="5" numFmtId="0" xfId="0" applyAlignment="1" applyBorder="1" applyFont="1">
      <alignment horizontal="left"/>
    </xf>
    <xf borderId="11" fillId="0" fontId="4" numFmtId="0" xfId="0" applyBorder="1" applyFont="1"/>
    <xf borderId="2" fillId="11" fontId="11" numFmtId="38" xfId="0" applyAlignment="1" applyBorder="1" applyFill="1" applyFont="1" applyNumberFormat="1">
      <alignment horizontal="right"/>
    </xf>
    <xf borderId="12" fillId="3" fontId="3" numFmtId="0" xfId="0" applyAlignment="1" applyBorder="1" applyFont="1">
      <alignment horizontal="left"/>
    </xf>
    <xf borderId="13" fillId="0" fontId="4" numFmtId="0" xfId="0" applyBorder="1" applyFont="1"/>
    <xf borderId="14" fillId="8" fontId="2" numFmtId="0" xfId="0" applyAlignment="1" applyBorder="1" applyFont="1">
      <alignment horizontal="left"/>
    </xf>
    <xf borderId="15" fillId="0" fontId="4" numFmtId="0" xfId="0" applyBorder="1" applyFont="1"/>
    <xf borderId="0" fillId="0" fontId="12" numFmtId="38" xfId="0" applyFont="1" applyNumberFormat="1"/>
    <xf borderId="14" fillId="9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0" fillId="0" fontId="9" numFmtId="38" xfId="0" applyFont="1" applyNumberFormat="1"/>
    <xf borderId="16" fillId="0" fontId="2" numFmtId="0" xfId="0" applyAlignment="1" applyBorder="1" applyFont="1">
      <alignment horizontal="left" shrinkToFit="0" wrapText="1"/>
    </xf>
    <xf borderId="16" fillId="0" fontId="4" numFmtId="0" xfId="0" applyBorder="1" applyFont="1"/>
    <xf borderId="0" fillId="0" fontId="9" numFmtId="166" xfId="0" applyFont="1" applyNumberFormat="1"/>
    <xf borderId="9" fillId="0" fontId="2" numFmtId="9" xfId="0" applyAlignment="1" applyBorder="1" applyFont="1" applyNumberFormat="1">
      <alignment horizontal="right" shrinkToFit="0" wrapText="1"/>
    </xf>
    <xf borderId="0" fillId="0" fontId="9" numFmtId="9" xfId="0" applyFont="1" applyNumberFormat="1"/>
    <xf borderId="9" fillId="0" fontId="2" numFmtId="0" xfId="0" applyAlignment="1" applyBorder="1" applyFont="1">
      <alignment horizontal="left"/>
    </xf>
    <xf borderId="8" fillId="0" fontId="4" numFmtId="0" xfId="0" applyBorder="1" applyFont="1"/>
    <xf borderId="17" fillId="7" fontId="2" numFmtId="0" xfId="0" applyAlignment="1" applyBorder="1" applyFont="1">
      <alignment horizontal="left"/>
    </xf>
    <xf borderId="18" fillId="0" fontId="4" numFmtId="0" xfId="0" applyBorder="1" applyFont="1"/>
    <xf borderId="17" fillId="7" fontId="2" numFmtId="0" xfId="0" applyAlignment="1" applyBorder="1" applyFont="1">
      <alignment horizontal="left" shrinkToFit="0" wrapText="1"/>
    </xf>
    <xf borderId="5" fillId="7" fontId="9" numFmtId="0" xfId="0" applyAlignment="1" applyBorder="1" applyFont="1">
      <alignment horizontal="left" shrinkToFit="0" wrapText="1"/>
    </xf>
    <xf borderId="14" fillId="8" fontId="2" numFmtId="0" xfId="0" applyAlignment="1" applyBorder="1" applyFont="1">
      <alignment horizontal="left" shrinkToFit="0" wrapText="1"/>
    </xf>
    <xf borderId="7" fillId="8" fontId="2" numFmtId="167" xfId="0" applyAlignment="1" applyBorder="1" applyFont="1" applyNumberFormat="1">
      <alignment horizontal="right" shrinkToFit="0" wrapText="1"/>
    </xf>
    <xf borderId="19" fillId="9" fontId="2" numFmtId="0" xfId="0" applyAlignment="1" applyBorder="1" applyFont="1">
      <alignment horizontal="left" shrinkToFit="0" wrapText="1"/>
    </xf>
    <xf borderId="20" fillId="0" fontId="4" numFmtId="0" xfId="0" applyBorder="1" applyFont="1"/>
    <xf borderId="21" fillId="0" fontId="4" numFmtId="0" xfId="0" applyBorder="1" applyFont="1"/>
    <xf borderId="5" fillId="3" fontId="2" numFmtId="38" xfId="0" applyAlignment="1" applyBorder="1" applyFont="1" applyNumberFormat="1">
      <alignment horizontal="right" shrinkToFit="0" wrapText="1"/>
    </xf>
    <xf borderId="22" fillId="0" fontId="4" numFmtId="0" xfId="0" applyBorder="1" applyFont="1"/>
    <xf borderId="23" fillId="0" fontId="4" numFmtId="0" xfId="0" applyBorder="1" applyFont="1"/>
    <xf borderId="24" fillId="3" fontId="2" numFmtId="38" xfId="0" applyAlignment="1" applyBorder="1" applyFont="1" applyNumberFormat="1">
      <alignment horizontal="right" shrinkToFit="0" wrapText="1"/>
    </xf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5" fillId="7" fontId="2" numFmtId="0" xfId="0" applyAlignment="1" applyBorder="1" applyFont="1">
      <alignment horizontal="left" shrinkToFit="0" wrapText="1"/>
    </xf>
    <xf borderId="7" fillId="9" fontId="2" numFmtId="0" xfId="0" applyAlignment="1" applyBorder="1" applyFont="1">
      <alignment shrinkToFit="0" wrapText="1"/>
    </xf>
    <xf borderId="6" fillId="9" fontId="2" numFmtId="0" xfId="0" applyAlignment="1" applyBorder="1" applyFont="1">
      <alignment horizontal="left" shrinkToFit="0" wrapText="1"/>
    </xf>
    <xf borderId="6" fillId="10" fontId="2" numFmtId="0" xfId="0" applyAlignment="1" applyBorder="1" applyFont="1">
      <alignment horizontal="right"/>
    </xf>
    <xf borderId="7" fillId="10" fontId="2" numFmtId="168" xfId="0" applyAlignment="1" applyBorder="1" applyFont="1" applyNumberFormat="1">
      <alignment horizontal="right" shrinkToFit="0" wrapText="1"/>
    </xf>
    <xf borderId="9" fillId="0" fontId="13" numFmtId="38" xfId="0" applyAlignment="1" applyBorder="1" applyFont="1" applyNumberFormat="1">
      <alignment horizontal="right" shrinkToFit="0" wrapText="1"/>
    </xf>
    <xf borderId="7" fillId="10" fontId="2" numFmtId="166" xfId="0" applyAlignment="1" applyBorder="1" applyFont="1" applyNumberFormat="1">
      <alignment horizontal="right" shrinkToFit="0" wrapText="1"/>
    </xf>
    <xf borderId="7" fillId="10" fontId="5" numFmtId="166" xfId="0" applyAlignment="1" applyBorder="1" applyFont="1" applyNumberFormat="1">
      <alignment horizontal="right" shrinkToFit="0" wrapText="1"/>
    </xf>
    <xf borderId="7" fillId="10" fontId="2" numFmtId="10" xfId="0" applyAlignment="1" applyBorder="1" applyFont="1" applyNumberFormat="1">
      <alignment horizontal="right" shrinkToFit="0" wrapText="1"/>
    </xf>
    <xf borderId="0" fillId="0" fontId="2" numFmtId="0" xfId="0" applyAlignment="1" applyFont="1">
      <alignment shrinkToFit="0" wrapText="1"/>
    </xf>
    <xf borderId="2" fillId="2" fontId="5" numFmtId="0" xfId="0" applyAlignment="1" applyBorder="1" applyFont="1">
      <alignment horizontal="center"/>
    </xf>
    <xf borderId="5" fillId="11" fontId="14" numFmtId="38" xfId="0" applyBorder="1" applyFont="1" applyNumberFormat="1"/>
    <xf borderId="6" fillId="9" fontId="2" numFmtId="0" xfId="0" applyBorder="1" applyFont="1"/>
    <xf borderId="7" fillId="9" fontId="2" numFmtId="0" xfId="0" applyAlignment="1" applyBorder="1" applyFont="1">
      <alignment horizontal="right" shrinkToFit="0" wrapText="1"/>
    </xf>
    <xf borderId="6" fillId="12" fontId="2" numFmtId="0" xfId="0" applyAlignment="1" applyBorder="1" applyFill="1" applyFont="1">
      <alignment horizontal="left"/>
    </xf>
    <xf borderId="7" fillId="13" fontId="2" numFmtId="38" xfId="0" applyAlignment="1" applyBorder="1" applyFill="1" applyFont="1" applyNumberFormat="1">
      <alignment horizontal="right" shrinkToFit="0" wrapText="1"/>
    </xf>
    <xf borderId="9" fillId="0" fontId="2" numFmtId="169" xfId="0" applyAlignment="1" applyBorder="1" applyFont="1" applyNumberFormat="1">
      <alignment horizontal="right"/>
    </xf>
    <xf borderId="0" fillId="0" fontId="9" numFmtId="169" xfId="0" applyFont="1" applyNumberFormat="1"/>
    <xf borderId="7" fillId="9" fontId="2" numFmtId="168" xfId="0" applyAlignment="1" applyBorder="1" applyFont="1" applyNumberFormat="1">
      <alignment horizontal="right" shrinkToFit="0" wrapText="1"/>
    </xf>
    <xf borderId="0" fillId="0" fontId="9" numFmtId="168" xfId="0" applyFont="1" applyNumberFormat="1"/>
    <xf borderId="9" fillId="0" fontId="2" numFmtId="40" xfId="0" applyAlignment="1" applyBorder="1" applyFont="1" applyNumberFormat="1">
      <alignment horizontal="right"/>
    </xf>
    <xf borderId="9" fillId="0" fontId="2" numFmtId="167" xfId="0" applyAlignment="1" applyBorder="1" applyFont="1" applyNumberFormat="1">
      <alignment horizontal="right"/>
    </xf>
    <xf borderId="7" fillId="13" fontId="15" numFmtId="38" xfId="0" applyAlignment="1" applyBorder="1" applyFont="1" applyNumberFormat="1">
      <alignment horizontal="right" shrinkToFit="0" wrapText="1"/>
    </xf>
    <xf borderId="0" fillId="0" fontId="9" numFmtId="40" xfId="0" applyFont="1" applyNumberFormat="1"/>
    <xf borderId="5" fillId="12" fontId="2" numFmtId="0" xfId="0" applyAlignment="1" applyBorder="1" applyFont="1">
      <alignment horizontal="left"/>
    </xf>
    <xf borderId="0" fillId="0" fontId="9" numFmtId="10" xfId="0" applyFont="1" applyNumberFormat="1"/>
    <xf borderId="28" fillId="14" fontId="14" numFmtId="0" xfId="0" applyBorder="1" applyFill="1" applyFont="1"/>
    <xf borderId="29" fillId="14" fontId="14" numFmtId="38" xfId="0" applyAlignment="1" applyBorder="1" applyFont="1" applyNumberFormat="1">
      <alignment horizontal="center"/>
    </xf>
    <xf borderId="5" fillId="15" fontId="9" numFmtId="0" xfId="0" applyBorder="1" applyFill="1" applyFont="1"/>
    <xf borderId="30" fillId="15" fontId="16" numFmtId="0" xfId="0" applyBorder="1" applyFont="1"/>
    <xf borderId="31" fillId="15" fontId="17" numFmtId="0" xfId="0" applyBorder="1" applyFont="1"/>
    <xf borderId="30" fillId="15" fontId="17" numFmtId="0" xfId="0" applyBorder="1" applyFont="1"/>
    <xf borderId="31" fillId="15" fontId="17" numFmtId="166" xfId="0" applyBorder="1" applyFont="1" applyNumberFormat="1"/>
    <xf borderId="28" fillId="15" fontId="17" numFmtId="166" xfId="0" applyBorder="1" applyFont="1" applyNumberFormat="1"/>
    <xf borderId="28" fillId="15" fontId="9" numFmtId="38" xfId="0" applyAlignment="1" applyBorder="1" applyFont="1" applyNumberFormat="1">
      <alignment horizontal="right" shrinkToFit="0" wrapText="1"/>
    </xf>
    <xf borderId="31" fillId="15" fontId="17" numFmtId="170" xfId="0" applyBorder="1" applyFont="1" applyNumberFormat="1"/>
    <xf borderId="31" fillId="15" fontId="17" numFmtId="171" xfId="0" applyBorder="1" applyFont="1" applyNumberFormat="1"/>
    <xf borderId="32" fillId="15" fontId="17" numFmtId="0" xfId="0" applyBorder="1" applyFont="1"/>
    <xf borderId="5" fillId="15" fontId="9" numFmtId="172" xfId="0" applyBorder="1" applyFont="1" applyNumberFormat="1"/>
    <xf borderId="28" fillId="14" fontId="18" numFmtId="0" xfId="0" applyBorder="1" applyFont="1"/>
    <xf borderId="28" fillId="14" fontId="18" numFmtId="1" xfId="0" applyBorder="1" applyFont="1" applyNumberFormat="1"/>
    <xf borderId="28" fillId="15" fontId="9" numFmtId="0" xfId="0" applyBorder="1" applyFont="1"/>
    <xf borderId="5" fillId="15" fontId="3" numFmtId="0" xfId="0" applyBorder="1" applyFont="1"/>
    <xf borderId="28" fillId="15" fontId="9" numFmtId="10" xfId="0" applyAlignment="1" applyBorder="1" applyFont="1" applyNumberFormat="1">
      <alignment horizontal="right"/>
    </xf>
    <xf borderId="5" fillId="15" fontId="9" numFmtId="9" xfId="0" applyBorder="1" applyFont="1" applyNumberFormat="1"/>
    <xf borderId="28" fillId="15" fontId="9" numFmtId="173" xfId="0" applyBorder="1" applyFont="1" applyNumberFormat="1"/>
    <xf borderId="33" fillId="15" fontId="17" numFmtId="40" xfId="0" applyBorder="1" applyFont="1" applyNumberFormat="1"/>
    <xf borderId="28" fillId="15" fontId="9" numFmtId="171" xfId="0" applyBorder="1" applyFont="1" applyNumberFormat="1"/>
    <xf borderId="28" fillId="15" fontId="9" numFmtId="172" xfId="0" applyBorder="1" applyFont="1" applyNumberFormat="1"/>
    <xf borderId="28" fillId="15" fontId="9" numFmtId="174" xfId="0" applyBorder="1" applyFont="1" applyNumberFormat="1"/>
    <xf borderId="34" fillId="15" fontId="3" numFmtId="0" xfId="0" applyAlignment="1" applyBorder="1" applyFont="1">
      <alignment horizontal="left"/>
    </xf>
    <xf borderId="35" fillId="0" fontId="4" numFmtId="0" xfId="0" applyBorder="1" applyFont="1"/>
    <xf borderId="28" fillId="10" fontId="3" numFmtId="175" xfId="0" applyBorder="1" applyFont="1" applyNumberFormat="1"/>
    <xf borderId="28" fillId="10" fontId="9" numFmtId="175" xfId="0" applyBorder="1" applyFont="1" applyNumberFormat="1"/>
    <xf borderId="5" fillId="15" fontId="9" numFmtId="175" xfId="0" applyBorder="1" applyFont="1" applyNumberFormat="1"/>
    <xf borderId="36" fillId="15" fontId="19" numFmtId="0" xfId="0" applyAlignment="1" applyBorder="1" applyFont="1">
      <alignment horizontal="center"/>
    </xf>
    <xf borderId="37" fillId="0" fontId="4" numFmtId="0" xfId="0" applyBorder="1" applyFont="1"/>
    <xf borderId="5" fillId="15" fontId="9" numFmtId="166" xfId="0" applyBorder="1" applyFont="1" applyNumberForma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right" shrinkToFit="0" wrapText="1"/>
    </xf>
    <xf borderId="0" fillId="0" fontId="9" numFmtId="0" xfId="0" applyAlignment="1" applyFont="1">
      <alignment horizontal="left" vertical="top"/>
    </xf>
    <xf borderId="0" fillId="0" fontId="9" numFmtId="49" xfId="0" applyAlignment="1" applyFont="1" applyNumberFormat="1">
      <alignment horizontal="left" vertical="top"/>
    </xf>
    <xf borderId="0" fillId="0" fontId="9" numFmtId="176" xfId="0" applyAlignment="1" applyFont="1" applyNumberFormat="1">
      <alignment horizontal="right" vertical="top"/>
    </xf>
    <xf borderId="0" fillId="0" fontId="9" numFmtId="177" xfId="0" applyAlignment="1" applyFont="1" applyNumberFormat="1">
      <alignment horizontal="right" vertical="top"/>
    </xf>
    <xf borderId="0" fillId="0" fontId="9" numFmtId="178" xfId="0" applyAlignment="1" applyFont="1" applyNumberFormat="1">
      <alignment horizontal="right" vertical="top"/>
    </xf>
    <xf borderId="0" fillId="0" fontId="9" numFmtId="0" xfId="0" applyAlignment="1" applyFont="1">
      <alignment horizontal="right" vertical="top"/>
    </xf>
    <xf borderId="0" fillId="0" fontId="3" numFmtId="0" xfId="0" applyAlignment="1" applyFont="1">
      <alignment horizontal="left" vertical="top"/>
    </xf>
    <xf borderId="28" fillId="12" fontId="17" numFmtId="0" xfId="0" applyBorder="1" applyFont="1"/>
    <xf borderId="29" fillId="12" fontId="17" numFmtId="38" xfId="0" applyAlignment="1" applyBorder="1" applyFont="1" applyNumberFormat="1">
      <alignment horizontal="center"/>
    </xf>
    <xf borderId="30" fillId="12" fontId="17" numFmtId="0" xfId="0" applyBorder="1" applyFont="1"/>
    <xf borderId="31" fillId="12" fontId="17" numFmtId="166" xfId="0" applyBorder="1" applyFont="1" applyNumberFormat="1"/>
    <xf borderId="31" fillId="12" fontId="17" numFmtId="1" xfId="0" applyBorder="1" applyFont="1" applyNumberFormat="1"/>
    <xf borderId="31" fillId="12" fontId="17" numFmtId="164" xfId="0" applyBorder="1" applyFont="1" applyNumberFormat="1"/>
    <xf borderId="31" fillId="12" fontId="17" numFmtId="179" xfId="0" applyBorder="1" applyFont="1" applyNumberFormat="1"/>
    <xf borderId="31" fillId="12" fontId="17" numFmtId="180" xfId="0" applyBorder="1" applyFont="1" applyNumberFormat="1"/>
    <xf borderId="28" fillId="0" fontId="3" numFmtId="0" xfId="0" applyBorder="1" applyFont="1"/>
    <xf borderId="28" fillId="0" fontId="9" numFmtId="0" xfId="0" applyBorder="1" applyFont="1"/>
    <xf borderId="28" fillId="0" fontId="9" numFmtId="175" xfId="0" applyBorder="1" applyFont="1" applyNumberFormat="1"/>
    <xf borderId="28" fillId="0" fontId="9" numFmtId="9" xfId="0" applyBorder="1" applyFont="1" applyNumberFormat="1"/>
    <xf borderId="36" fillId="0" fontId="20" numFmtId="0" xfId="0" applyAlignment="1" applyBorder="1" applyFont="1">
      <alignment horizontal="center"/>
    </xf>
    <xf borderId="38" fillId="0" fontId="4" numFmtId="0" xfId="0" applyBorder="1" applyFont="1"/>
    <xf borderId="28" fillId="11" fontId="21" numFmtId="175" xfId="0" applyBorder="1" applyFont="1" applyNumberFormat="1"/>
    <xf borderId="0" fillId="0" fontId="22" numFmtId="0" xfId="0" applyFont="1"/>
    <xf borderId="39" fillId="14" fontId="9" numFmtId="38" xfId="0" applyBorder="1" applyFont="1" applyNumberFormat="1"/>
    <xf borderId="40" fillId="14" fontId="14" numFmtId="38" xfId="0" applyAlignment="1" applyBorder="1" applyFont="1" applyNumberFormat="1">
      <alignment horizontal="center"/>
    </xf>
    <xf borderId="41" fillId="0" fontId="4" numFmtId="0" xfId="0" applyBorder="1" applyFont="1"/>
    <xf borderId="42" fillId="0" fontId="4" numFmtId="0" xfId="0" applyBorder="1" applyFont="1"/>
    <xf borderId="40" fillId="16" fontId="14" numFmtId="38" xfId="0" applyAlignment="1" applyBorder="1" applyFill="1" applyFont="1" applyNumberFormat="1">
      <alignment horizontal="center"/>
    </xf>
    <xf borderId="5" fillId="15" fontId="9" numFmtId="38" xfId="0" applyBorder="1" applyFont="1" applyNumberFormat="1"/>
    <xf borderId="39" fillId="14" fontId="14" numFmtId="38" xfId="0" applyBorder="1" applyFont="1" applyNumberFormat="1"/>
    <xf borderId="39" fillId="14" fontId="14" numFmtId="1" xfId="0" applyAlignment="1" applyBorder="1" applyFont="1" applyNumberFormat="1">
      <alignment horizontal="center"/>
    </xf>
    <xf borderId="39" fillId="16" fontId="14" numFmtId="38" xfId="0" applyAlignment="1" applyBorder="1" applyFont="1" applyNumberFormat="1">
      <alignment horizontal="center"/>
    </xf>
    <xf borderId="43" fillId="15" fontId="23" numFmtId="38" xfId="0" applyBorder="1" applyFont="1" applyNumberFormat="1"/>
    <xf borderId="43" fillId="15" fontId="23" numFmtId="38" xfId="0" applyAlignment="1" applyBorder="1" applyFont="1" applyNumberFormat="1">
      <alignment horizontal="right"/>
    </xf>
    <xf borderId="43" fillId="15" fontId="24" numFmtId="38" xfId="0" applyAlignment="1" applyBorder="1" applyFont="1" applyNumberFormat="1">
      <alignment horizontal="right"/>
    </xf>
    <xf borderId="5" fillId="15" fontId="23" numFmtId="38" xfId="0" applyBorder="1" applyFont="1" applyNumberFormat="1"/>
    <xf borderId="5" fillId="15" fontId="23" numFmtId="9" xfId="0" applyBorder="1" applyFont="1" applyNumberFormat="1"/>
    <xf borderId="28" fillId="15" fontId="25" numFmtId="38" xfId="0" applyBorder="1" applyFont="1" applyNumberFormat="1"/>
    <xf borderId="28" fillId="17" fontId="26" numFmtId="10" xfId="0" applyAlignment="1" applyBorder="1" applyFill="1" applyFont="1" applyNumberFormat="1">
      <alignment horizontal="right"/>
    </xf>
    <xf borderId="28" fillId="15" fontId="25" numFmtId="10" xfId="0" applyAlignment="1" applyBorder="1" applyFont="1" applyNumberFormat="1">
      <alignment horizontal="right"/>
    </xf>
    <xf borderId="28" fillId="15" fontId="27" numFmtId="10" xfId="0" applyAlignment="1" applyBorder="1" applyFont="1" applyNumberFormat="1">
      <alignment horizontal="right"/>
    </xf>
    <xf borderId="5" fillId="15" fontId="28" numFmtId="38" xfId="0" applyBorder="1" applyFont="1" applyNumberFormat="1"/>
    <xf borderId="5" fillId="15" fontId="28" numFmtId="9" xfId="0" applyBorder="1" applyFont="1" applyNumberFormat="1"/>
    <xf borderId="5" fillId="15" fontId="9" numFmtId="10" xfId="0" applyBorder="1" applyFont="1" applyNumberFormat="1"/>
    <xf borderId="44" fillId="15" fontId="9" numFmtId="38" xfId="0" applyBorder="1" applyFont="1" applyNumberFormat="1"/>
    <xf borderId="45" fillId="15" fontId="9" numFmtId="38" xfId="0" applyAlignment="1" applyBorder="1" applyFont="1" applyNumberFormat="1">
      <alignment horizontal="right"/>
    </xf>
    <xf borderId="45" fillId="15" fontId="29" numFmtId="38" xfId="0" applyAlignment="1" applyBorder="1" applyFont="1" applyNumberFormat="1">
      <alignment horizontal="right"/>
    </xf>
    <xf borderId="45" fillId="15" fontId="29" numFmtId="38" xfId="0" applyBorder="1" applyFont="1" applyNumberFormat="1"/>
    <xf borderId="29" fillId="15" fontId="29" numFmtId="38" xfId="0" applyBorder="1" applyFont="1" applyNumberFormat="1"/>
    <xf borderId="28" fillId="15" fontId="3" numFmtId="38" xfId="0" applyBorder="1" applyFont="1" applyNumberFormat="1"/>
    <xf borderId="28" fillId="15" fontId="3" numFmtId="38" xfId="0" applyAlignment="1" applyBorder="1" applyFont="1" applyNumberFormat="1">
      <alignment horizontal="right"/>
    </xf>
    <xf borderId="28" fillId="15" fontId="24" numFmtId="38" xfId="0" applyAlignment="1" applyBorder="1" applyFont="1" applyNumberFormat="1">
      <alignment horizontal="right"/>
    </xf>
    <xf borderId="28" fillId="15" fontId="19" numFmtId="38" xfId="0" applyBorder="1" applyFont="1" applyNumberFormat="1"/>
    <xf borderId="5" fillId="15" fontId="3" numFmtId="38" xfId="0" applyBorder="1" applyFont="1" applyNumberFormat="1"/>
    <xf borderId="5" fillId="18" fontId="30" numFmtId="10" xfId="0" applyBorder="1" applyFill="1" applyFont="1" applyNumberFormat="1"/>
    <xf borderId="46" fillId="15" fontId="26" numFmtId="38" xfId="0" applyBorder="1" applyFont="1" applyNumberFormat="1"/>
    <xf borderId="46" fillId="15" fontId="31" numFmtId="10" xfId="0" applyAlignment="1" applyBorder="1" applyFont="1" applyNumberFormat="1">
      <alignment horizontal="right"/>
    </xf>
    <xf borderId="39" fillId="15" fontId="26" numFmtId="38" xfId="0" applyBorder="1" applyFont="1" applyNumberFormat="1"/>
    <xf borderId="39" fillId="17" fontId="26" numFmtId="10" xfId="0" applyAlignment="1" applyBorder="1" applyFont="1" applyNumberFormat="1">
      <alignment horizontal="right"/>
    </xf>
    <xf borderId="39" fillId="15" fontId="26" numFmtId="10" xfId="0" applyAlignment="1" applyBorder="1" applyFont="1" applyNumberFormat="1">
      <alignment horizontal="right"/>
    </xf>
    <xf borderId="39" fillId="15" fontId="27" numFmtId="10" xfId="0" applyAlignment="1" applyBorder="1" applyFont="1" applyNumberFormat="1">
      <alignment horizontal="right"/>
    </xf>
    <xf borderId="5" fillId="15" fontId="3" numFmtId="9" xfId="0" applyBorder="1" applyFont="1" applyNumberFormat="1"/>
    <xf borderId="39" fillId="15" fontId="3" numFmtId="38" xfId="0" applyAlignment="1" applyBorder="1" applyFont="1" applyNumberFormat="1">
      <alignment horizontal="left"/>
    </xf>
    <xf borderId="39" fillId="15" fontId="9" numFmtId="166" xfId="0" applyAlignment="1" applyBorder="1" applyFont="1" applyNumberFormat="1">
      <alignment horizontal="right"/>
    </xf>
    <xf borderId="39" fillId="15" fontId="32" numFmtId="166" xfId="0" applyAlignment="1" applyBorder="1" applyFont="1" applyNumberFormat="1">
      <alignment horizontal="right"/>
    </xf>
    <xf borderId="39" fillId="15" fontId="26" numFmtId="38" xfId="0" applyAlignment="1" applyBorder="1" applyFont="1" applyNumberFormat="1">
      <alignment horizontal="left"/>
    </xf>
    <xf borderId="39" fillId="15" fontId="33" numFmtId="9" xfId="0" applyAlignment="1" applyBorder="1" applyFont="1" applyNumberFormat="1">
      <alignment horizontal="right"/>
    </xf>
    <xf borderId="39" fillId="15" fontId="34" numFmtId="10" xfId="0" applyBorder="1" applyFont="1" applyNumberFormat="1"/>
    <xf borderId="39" fillId="15" fontId="31" numFmtId="9" xfId="0" applyAlignment="1" applyBorder="1" applyFont="1" applyNumberFormat="1">
      <alignment horizontal="right"/>
    </xf>
    <xf borderId="39" fillId="15" fontId="34" numFmtId="10" xfId="0" applyAlignment="1" applyBorder="1" applyFont="1" applyNumberFormat="1">
      <alignment readingOrder="0"/>
    </xf>
    <xf borderId="39" fillId="15" fontId="3" numFmtId="38" xfId="0" applyBorder="1" applyFont="1" applyNumberFormat="1"/>
    <xf borderId="39" fillId="15" fontId="3" numFmtId="38" xfId="0" applyAlignment="1" applyBorder="1" applyFont="1" applyNumberFormat="1">
      <alignment horizontal="right"/>
    </xf>
    <xf borderId="39" fillId="15" fontId="24" numFmtId="38" xfId="0" applyAlignment="1" applyBorder="1" applyFont="1" applyNumberFormat="1">
      <alignment horizontal="right"/>
    </xf>
    <xf borderId="39" fillId="15" fontId="31" numFmtId="10" xfId="0" applyAlignment="1" applyBorder="1" applyFont="1" applyNumberFormat="1">
      <alignment horizontal="right"/>
    </xf>
    <xf borderId="39" fillId="15" fontId="9" numFmtId="38" xfId="0" applyAlignment="1" applyBorder="1" applyFont="1" applyNumberFormat="1">
      <alignment horizontal="left"/>
    </xf>
    <xf borderId="28" fillId="15" fontId="9" numFmtId="38" xfId="0" applyAlignment="1" applyBorder="1" applyFont="1" applyNumberFormat="1">
      <alignment horizontal="right"/>
    </xf>
    <xf borderId="39" fillId="15" fontId="32" numFmtId="38" xfId="0" applyAlignment="1" applyBorder="1" applyFont="1" applyNumberFormat="1">
      <alignment horizontal="right"/>
    </xf>
    <xf borderId="39" fillId="15" fontId="29" numFmtId="38" xfId="0" applyBorder="1" applyFont="1" applyNumberFormat="1"/>
    <xf borderId="5" fillId="15" fontId="35" numFmtId="10" xfId="0" applyBorder="1" applyFont="1" applyNumberFormat="1"/>
    <xf borderId="5" fillId="15" fontId="35" numFmtId="38" xfId="0" applyBorder="1" applyFont="1" applyNumberFormat="1"/>
    <xf borderId="39" fillId="15" fontId="29" numFmtId="166" xfId="0" applyBorder="1" applyFont="1" applyNumberFormat="1"/>
    <xf borderId="39" fillId="15" fontId="3" numFmtId="166" xfId="0" applyAlignment="1" applyBorder="1" applyFont="1" applyNumberFormat="1">
      <alignment horizontal="right"/>
    </xf>
    <xf borderId="5" fillId="15" fontId="35" numFmtId="166" xfId="0" applyBorder="1" applyFont="1" applyNumberFormat="1"/>
    <xf borderId="5" fillId="15" fontId="9" numFmtId="1" xfId="0" applyBorder="1" applyFont="1" applyNumberFormat="1"/>
    <xf borderId="5" fillId="15" fontId="9" numFmtId="168" xfId="0" applyBorder="1" applyFont="1" applyNumberFormat="1"/>
    <xf borderId="5" fillId="15" fontId="9" numFmtId="0" xfId="0" applyAlignment="1" applyBorder="1" applyFont="1">
      <alignment horizontal="center" vertical="center"/>
    </xf>
    <xf borderId="5" fillId="15" fontId="2" numFmtId="38" xfId="0" applyAlignment="1" applyBorder="1" applyFont="1" applyNumberFormat="1">
      <alignment horizontal="center" vertical="center"/>
    </xf>
    <xf borderId="28" fillId="15" fontId="3" numFmtId="0" xfId="0" applyAlignment="1" applyBorder="1" applyFont="1">
      <alignment horizontal="center" vertical="center"/>
    </xf>
    <xf borderId="28" fillId="19" fontId="14" numFmtId="1" xfId="0" applyAlignment="1" applyBorder="1" applyFill="1" applyFont="1" applyNumberFormat="1">
      <alignment horizontal="center" vertical="center"/>
    </xf>
    <xf borderId="28" fillId="11" fontId="14" numFmtId="1" xfId="0" applyAlignment="1" applyBorder="1" applyFont="1" applyNumberFormat="1">
      <alignment horizontal="center" vertical="center"/>
    </xf>
    <xf borderId="28" fillId="15" fontId="9" numFmtId="0" xfId="0" applyAlignment="1" applyBorder="1" applyFont="1">
      <alignment horizontal="center" vertical="center"/>
    </xf>
    <xf borderId="28" fillId="15" fontId="9" numFmtId="9" xfId="0" applyAlignment="1" applyBorder="1" applyFont="1" applyNumberFormat="1">
      <alignment horizontal="center" vertical="center"/>
    </xf>
    <xf borderId="28" fillId="15" fontId="9" numFmtId="168" xfId="0" applyAlignment="1" applyBorder="1" applyFont="1" applyNumberFormat="1">
      <alignment horizontal="center" vertical="center"/>
    </xf>
    <xf borderId="28" fillId="15" fontId="9" numFmtId="168" xfId="0" applyBorder="1" applyFont="1" applyNumberFormat="1"/>
    <xf borderId="5" fillId="15" fontId="9" numFmtId="10" xfId="0" applyAlignment="1" applyBorder="1" applyFont="1" applyNumberFormat="1">
      <alignment horizontal="center" vertical="center"/>
    </xf>
    <xf borderId="5" fillId="15" fontId="36" numFmtId="0" xfId="0" applyAlignment="1" applyBorder="1" applyFont="1">
      <alignment horizontal="center" vertical="center"/>
    </xf>
    <xf borderId="5" fillId="15" fontId="36" numFmtId="9" xfId="0" applyAlignment="1" applyBorder="1" applyFont="1" applyNumberFormat="1">
      <alignment horizontal="center" vertical="center"/>
    </xf>
    <xf borderId="5" fillId="15" fontId="9" numFmtId="166" xfId="0" applyAlignment="1" applyBorder="1" applyFont="1" applyNumberFormat="1">
      <alignment horizontal="center" vertical="center"/>
    </xf>
    <xf borderId="5" fillId="15" fontId="9" numFmtId="181" xfId="0" applyAlignment="1" applyBorder="1" applyFont="1" applyNumberFormat="1">
      <alignment horizontal="center" vertical="center"/>
    </xf>
    <xf borderId="28" fillId="15" fontId="9" numFmtId="166" xfId="0" applyAlignment="1" applyBorder="1" applyFont="1" applyNumberFormat="1">
      <alignment horizontal="center" vertical="center"/>
    </xf>
    <xf borderId="5" fillId="15" fontId="9" numFmtId="9" xfId="0" applyAlignment="1" applyBorder="1" applyFont="1" applyNumberFormat="1">
      <alignment horizontal="center" vertical="center"/>
    </xf>
    <xf borderId="5" fillId="15" fontId="14" numFmtId="9" xfId="0" applyAlignment="1" applyBorder="1" applyFont="1" applyNumberFormat="1">
      <alignment horizontal="center" vertical="center"/>
    </xf>
    <xf borderId="28" fillId="15" fontId="37" numFmtId="0" xfId="0" applyAlignment="1" applyBorder="1" applyFont="1">
      <alignment horizontal="right" vertical="center"/>
    </xf>
    <xf borderId="28" fillId="15" fontId="37" numFmtId="9" xfId="0" applyAlignment="1" applyBorder="1" applyFont="1" applyNumberFormat="1">
      <alignment horizontal="right" vertical="center"/>
    </xf>
    <xf borderId="28" fillId="15" fontId="38" numFmtId="168" xfId="0" applyBorder="1" applyFont="1" applyNumberFormat="1"/>
    <xf borderId="5" fillId="15" fontId="3" numFmtId="9" xfId="0" applyAlignment="1" applyBorder="1" applyFont="1" applyNumberFormat="1">
      <alignment horizontal="center" vertical="center"/>
    </xf>
    <xf borderId="5" fillId="15" fontId="39" numFmtId="0" xfId="0" applyBorder="1" applyFont="1"/>
    <xf borderId="28" fillId="15" fontId="9" numFmtId="10" xfId="0" applyBorder="1" applyFont="1" applyNumberFormat="1"/>
    <xf borderId="5" fillId="15" fontId="40" numFmtId="0" xfId="0" applyBorder="1" applyFont="1"/>
    <xf borderId="28" fillId="14" fontId="14" numFmtId="1" xfId="0" applyAlignment="1" applyBorder="1" applyFont="1" applyNumberFormat="1">
      <alignment horizontal="center"/>
    </xf>
    <xf borderId="28" fillId="11" fontId="14" numFmtId="1" xfId="0" applyAlignment="1" applyBorder="1" applyFont="1" applyNumberFormat="1">
      <alignment horizontal="center"/>
    </xf>
    <xf borderId="28" fillId="15" fontId="9" numFmtId="38" xfId="0" applyAlignment="1" applyBorder="1" applyFont="1" applyNumberFormat="1">
      <alignment shrinkToFit="0" wrapText="1"/>
    </xf>
    <xf borderId="28" fillId="15" fontId="9" numFmtId="166" xfId="0" applyAlignment="1" applyBorder="1" applyFont="1" applyNumberFormat="1">
      <alignment shrinkToFit="0" wrapText="1"/>
    </xf>
    <xf borderId="5" fillId="15" fontId="35" numFmtId="0" xfId="0" applyBorder="1" applyFont="1"/>
    <xf borderId="5" fillId="15" fontId="35" numFmtId="166" xfId="0" applyAlignment="1" applyBorder="1" applyFont="1" applyNumberFormat="1">
      <alignment shrinkToFit="0" wrapText="1"/>
    </xf>
    <xf borderId="5" fillId="15" fontId="9" numFmtId="0" xfId="0" applyAlignment="1" applyBorder="1" applyFont="1">
      <alignment shrinkToFit="0" wrapText="1"/>
    </xf>
    <xf borderId="28" fillId="15" fontId="9" numFmtId="38" xfId="0" applyBorder="1" applyFont="1" applyNumberFormat="1"/>
    <xf borderId="28" fillId="15" fontId="9" numFmtId="166" xfId="0" applyBorder="1" applyFont="1" applyNumberFormat="1"/>
    <xf borderId="28" fillId="15" fontId="9" numFmtId="10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FPT Revenue by Segment (2019A-2029F)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FPT Software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Exhibit!$B$2:$L$2</c:f>
              <c:numCache/>
            </c:numRef>
          </c:val>
        </c:ser>
        <c:ser>
          <c:idx val="1"/>
          <c:order val="1"/>
          <c:tx>
            <c:v>FPT IS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Exhibit!$B$3:$L$3</c:f>
              <c:numCache/>
            </c:numRef>
          </c:val>
        </c:ser>
        <c:ser>
          <c:idx val="2"/>
          <c:order val="2"/>
          <c:tx>
            <c:v>FPT Telecom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Exhibit!$B$4:$L$4</c:f>
              <c:numCache/>
            </c:numRef>
          </c:val>
        </c:ser>
        <c:ser>
          <c:idx val="3"/>
          <c:order val="3"/>
          <c:tx>
            <c:v>FPT Online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Exhibit!$B$5:$L$5</c:f>
              <c:numCache/>
            </c:numRef>
          </c:val>
        </c:ser>
        <c:ser>
          <c:idx val="4"/>
          <c:order val="4"/>
          <c:tx>
            <c:v>FPT Education &amp; Investment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Exhibit!$B$6:$L$6</c:f>
              <c:numCache/>
            </c:numRef>
          </c:val>
        </c:ser>
        <c:overlap val="100"/>
        <c:axId val="1597369064"/>
        <c:axId val="1285905304"/>
      </c:barChart>
      <c:catAx>
        <c:axId val="1597369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5905304"/>
      </c:catAx>
      <c:valAx>
        <c:axId val="1285905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736906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Global IT services by markets (2019-2023)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2019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assumption'!$A$12</c:f>
              <c:numCache/>
            </c:numRef>
          </c:val>
        </c:ser>
        <c:ser>
          <c:idx val="1"/>
          <c:order val="1"/>
          <c:tx>
            <c:v>2020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assumption'!$A$14</c:f>
              <c:numCache/>
            </c:numRef>
          </c:val>
        </c:ser>
        <c:ser>
          <c:idx val="2"/>
          <c:order val="2"/>
          <c:tx>
            <c:v>2021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assumption'!$A$16</c:f>
              <c:numCache/>
            </c:numRef>
          </c:val>
        </c:ser>
        <c:ser>
          <c:idx val="3"/>
          <c:order val="3"/>
          <c:tx>
            <c:v>2022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assumption'!$B$10</c:f>
              <c:numCache/>
            </c:numRef>
          </c:val>
        </c:ser>
        <c:ser>
          <c:idx val="4"/>
          <c:order val="4"/>
          <c:tx>
            <c:v>2023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assumption'!$A$10</c:f>
            </c:strRef>
          </c:cat>
          <c:val>
            <c:numRef>
              <c:f>'Revenue assumption'!$B$12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assumption'!$B$14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assumption'!$B$16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assumption'!$C$10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assumption'!$C$12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assumption'!$C$14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assumption'!$C$16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assumption'!$D$10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assumption'!$D$12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assumption'!$D$14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assumption'!$D$16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assumption'!$E$10</c:f>
              <c:numCache/>
            </c:numRef>
          </c:val>
        </c:ser>
        <c:ser>
          <c:idx val="16"/>
          <c:order val="16"/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assumption'!$E$12</c:f>
              <c:numCache/>
            </c:numRef>
          </c:val>
        </c:ser>
        <c:ser>
          <c:idx val="17"/>
          <c:order val="17"/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assumption'!$E$14</c:f>
              <c:numCache/>
            </c:numRef>
          </c:val>
        </c:ser>
        <c:ser>
          <c:idx val="18"/>
          <c:order val="18"/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assumption'!$E$16</c:f>
              <c:numCache/>
            </c:numRef>
          </c:val>
        </c:ser>
        <c:ser>
          <c:idx val="19"/>
          <c:order val="19"/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'Revenue assumption'!$A$10</c:f>
            </c:strRef>
          </c:cat>
          <c:val>
            <c:numRef>
              <c:f>'Revenue assumption'!$F$10</c:f>
              <c:numCache/>
            </c:numRef>
          </c:val>
        </c:ser>
        <c:ser>
          <c:idx val="20"/>
          <c:order val="20"/>
          <c:cat>
            <c:strRef>
              <c:f>'Revenue assumption'!$A$10</c:f>
            </c:strRef>
          </c:cat>
          <c:val>
            <c:numRef>
              <c:f>'Revenue assumption'!$F$12</c:f>
              <c:numCache/>
            </c:numRef>
          </c:val>
        </c:ser>
        <c:ser>
          <c:idx val="21"/>
          <c:order val="21"/>
          <c:cat>
            <c:strRef>
              <c:f>'Revenue assumption'!$A$10</c:f>
            </c:strRef>
          </c:cat>
          <c:val>
            <c:numRef>
              <c:f>'Revenue assumption'!$F$14</c:f>
              <c:numCache/>
            </c:numRef>
          </c:val>
        </c:ser>
        <c:ser>
          <c:idx val="22"/>
          <c:order val="22"/>
          <c:cat>
            <c:strRef>
              <c:f>'Revenue assumption'!$A$10</c:f>
            </c:strRef>
          </c:cat>
          <c:val>
            <c:numRef>
              <c:f>'Revenue assumption'!$F$16</c:f>
              <c:numCache/>
            </c:numRef>
          </c:val>
        </c:ser>
        <c:axId val="250753472"/>
        <c:axId val="702932298"/>
      </c:barChart>
      <c:catAx>
        <c:axId val="25075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2932298"/>
      </c:catAx>
      <c:valAx>
        <c:axId val="7029322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075347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FPT Telecommunication Revenue by Subsidiary (2019A-2029F)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FPT Telecom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Exhibit!$B$4:$L$4</c:f>
              <c:numCache/>
            </c:numRef>
          </c:val>
        </c:ser>
        <c:ser>
          <c:idx val="1"/>
          <c:order val="1"/>
          <c:tx>
            <c:v>FPT Online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Exhibit!$B$5:$L$5</c:f>
              <c:numCache/>
            </c:numRef>
          </c:val>
        </c:ser>
        <c:axId val="1212621986"/>
        <c:axId val="944929955"/>
      </c:barChart>
      <c:catAx>
        <c:axId val="1212621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4929955"/>
      </c:catAx>
      <c:valAx>
        <c:axId val="9449299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262198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FPT Education, Invesment and Other segments Revenue (2019-2029F)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Education, Investment and Others(3)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breakdown'!$B$2:$L$2</c:f>
            </c:strRef>
          </c:cat>
          <c:val>
            <c:numRef>
              <c:f>'Revenue breakdown'!$B$26:$L$26</c:f>
              <c:numCache/>
            </c:numRef>
          </c:val>
        </c:ser>
        <c:axId val="2016331050"/>
        <c:axId val="1985075965"/>
      </c:barChart>
      <c:lineChart>
        <c:varyColors val="0"/>
        <c:ser>
          <c:idx val="1"/>
          <c:order val="1"/>
          <c:tx>
            <c:v>% growth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breakdown'!$B$2:$L$2</c:f>
            </c:strRef>
          </c:cat>
          <c:val>
            <c:numRef>
              <c:f>'Revenue breakdown'!$B$28:$L$28</c:f>
              <c:numCache/>
            </c:numRef>
          </c:val>
          <c:smooth val="0"/>
        </c:ser>
        <c:axId val="2016331050"/>
        <c:axId val="1985075965"/>
      </c:lineChart>
      <c:catAx>
        <c:axId val="2016331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5075965"/>
      </c:catAx>
      <c:valAx>
        <c:axId val="198507596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633105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Active students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Exhibit!$B$46:$L$46</c:f>
              <c:numCache/>
            </c:numRef>
          </c:val>
        </c:ser>
        <c:ser>
          <c:idx val="1"/>
          <c:order val="1"/>
          <c:tx>
            <c:v>Average tuition fee per pax (vnd'000)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Exhibit!$B$1:$L$1</c:f>
            </c:strRef>
          </c:cat>
          <c:val>
            <c:numRef>
              <c:f>Exhibit!$B$47:$L$47</c:f>
              <c:numCache/>
            </c:numRef>
          </c:val>
        </c:ser>
        <c:axId val="240714217"/>
        <c:axId val="969269466"/>
      </c:barChart>
      <c:lineChart>
        <c:ser>
          <c:idx val="2"/>
          <c:order val="2"/>
          <c:tx>
            <c:v>% growth Active students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Exhibit!$B$1:$L$1</c:f>
            </c:strRef>
          </c:cat>
          <c:val>
            <c:numRef>
              <c:f>Exhibit!$B$48:$L$48</c:f>
              <c:numCache/>
            </c:numRef>
          </c:val>
          <c:smooth val="0"/>
        </c:ser>
        <c:ser>
          <c:idx val="3"/>
          <c:order val="3"/>
          <c:tx>
            <c:v>% growth Average tuition fee 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Exhibit!$B$1:$L$1</c:f>
            </c:strRef>
          </c:cat>
          <c:val>
            <c:numRef>
              <c:f>Exhibit!$B$49:$L$49</c:f>
              <c:numCache/>
            </c:numRef>
          </c:val>
          <c:smooth val="0"/>
        </c:ser>
        <c:axId val="240714217"/>
        <c:axId val="969269466"/>
      </c:lineChart>
      <c:catAx>
        <c:axId val="240714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9269466"/>
      </c:catAx>
      <c:valAx>
        <c:axId val="9692694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07142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Capital Expenditure projection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'FCFE model'!$B$24:$L$24</c:f>
              <c:numCache/>
            </c:numRef>
          </c:val>
        </c:ser>
        <c:axId val="208194586"/>
        <c:axId val="1064849949"/>
      </c:barChart>
      <c:catAx>
        <c:axId val="208194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4849949"/>
      </c:catAx>
      <c:valAx>
        <c:axId val="10648499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19458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Capex Projection by Segment (2024F-2029F)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Technology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'FCFE model'!$B$1:$G$1</c:f>
            </c:strRef>
          </c:cat>
          <c:val>
            <c:numRef>
              <c:f>'FCFE model'!$G$25:$L$25</c:f>
              <c:numCache/>
            </c:numRef>
          </c:val>
        </c:ser>
        <c:ser>
          <c:idx val="1"/>
          <c:order val="1"/>
          <c:tx>
            <c:v>Telecommunication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'FCFE model'!$B$1:$G$1</c:f>
            </c:strRef>
          </c:cat>
          <c:val>
            <c:numRef>
              <c:f>'FCFE model'!$G$26:$L$26</c:f>
              <c:numCache/>
            </c:numRef>
          </c:val>
        </c:ser>
        <c:ser>
          <c:idx val="2"/>
          <c:order val="2"/>
          <c:tx>
            <c:v>Education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'FCFE model'!$B$1:$G$1</c:f>
            </c:strRef>
          </c:cat>
          <c:val>
            <c:numRef>
              <c:f>'FCFE model'!$G$27:$L$27</c:f>
              <c:numCache/>
            </c:numRef>
          </c:val>
        </c:ser>
        <c:overlap val="100"/>
        <c:axId val="2141038811"/>
        <c:axId val="260799137"/>
      </c:barChart>
      <c:catAx>
        <c:axId val="2141038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0799137"/>
      </c:catAx>
      <c:valAx>
        <c:axId val="2607991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10388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Changes in WC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'FPT Corp | Balance Sheet '!$C$63:$L$63</c:f>
              <c:numCache/>
            </c:numRef>
          </c:val>
        </c:ser>
        <c:axId val="1825863253"/>
        <c:axId val="1196640994"/>
      </c:barChart>
      <c:catAx>
        <c:axId val="1825863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640994"/>
      </c:catAx>
      <c:valAx>
        <c:axId val="1196640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5863253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Net borrowings and D/E Ratio change (2019-2029F)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Net borrowings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'FPT Corp | Cash Flow '!$B$5:$L$5</c:f>
            </c:strRef>
          </c:cat>
          <c:val>
            <c:numRef>
              <c:f>'FPT Corp | Cash Flow '!$B$50:$L$50</c:f>
              <c:numCache/>
            </c:numRef>
          </c:val>
        </c:ser>
        <c:axId val="1052014141"/>
        <c:axId val="206358339"/>
      </c:barChart>
      <c:lineChart>
        <c:varyColors val="0"/>
        <c:ser>
          <c:idx val="1"/>
          <c:order val="1"/>
          <c:tx>
            <c:v>D/E Ratio change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'FPT Corp | Cash Flow '!$B$5:$L$5</c:f>
            </c:strRef>
          </c:cat>
          <c:val>
            <c:numRef>
              <c:f>'FPT Corp | Cash Flow '!$B$51:$L$51</c:f>
              <c:numCache/>
            </c:numRef>
          </c:val>
          <c:smooth val="0"/>
        </c:ser>
        <c:axId val="1052014141"/>
        <c:axId val="206358339"/>
      </c:lineChart>
      <c:catAx>
        <c:axId val="1052014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358339"/>
      </c:catAx>
      <c:valAx>
        <c:axId val="2063583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20141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40</xdr:row>
      <xdr:rowOff>19050</xdr:rowOff>
    </xdr:from>
    <xdr:ext cx="609600" cy="314325"/>
    <xdr:sp>
      <xdr:nvSpPr>
        <xdr:cNvPr id="3" name="Shape 3"/>
        <xdr:cNvSpPr/>
      </xdr:nvSpPr>
      <xdr:spPr>
        <a:xfrm>
          <a:off x="5045963" y="3632363"/>
          <a:ext cx="600075" cy="2952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2019</a:t>
          </a:r>
          <a:endParaRPr sz="1400"/>
        </a:p>
      </xdr:txBody>
    </xdr:sp>
    <xdr:clientData fLocksWithSheet="0"/>
  </xdr:oneCellAnchor>
  <xdr:oneCellAnchor>
    <xdr:from>
      <xdr:col>2</xdr:col>
      <xdr:colOff>361950</xdr:colOff>
      <xdr:row>56</xdr:row>
      <xdr:rowOff>0</xdr:rowOff>
    </xdr:from>
    <xdr:ext cx="771525" cy="314325"/>
    <xdr:sp>
      <xdr:nvSpPr>
        <xdr:cNvPr id="4" name="Shape 4"/>
        <xdr:cNvSpPr/>
      </xdr:nvSpPr>
      <xdr:spPr>
        <a:xfrm>
          <a:off x="4965000" y="3632363"/>
          <a:ext cx="762000" cy="2952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2020</a:t>
          </a:r>
          <a:endParaRPr sz="1400"/>
        </a:p>
      </xdr:txBody>
    </xdr:sp>
    <xdr:clientData fLocksWithSheet="0"/>
  </xdr:oneCellAnchor>
  <xdr:oneCellAnchor>
    <xdr:from>
      <xdr:col>6</xdr:col>
      <xdr:colOff>361950</xdr:colOff>
      <xdr:row>52</xdr:row>
      <xdr:rowOff>66675</xdr:rowOff>
    </xdr:from>
    <xdr:ext cx="771525" cy="314325"/>
    <xdr:sp>
      <xdr:nvSpPr>
        <xdr:cNvPr id="5" name="Shape 5"/>
        <xdr:cNvSpPr/>
      </xdr:nvSpPr>
      <xdr:spPr>
        <a:xfrm>
          <a:off x="4965000" y="3632363"/>
          <a:ext cx="762000" cy="2952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2021</a:t>
          </a:r>
          <a:endParaRPr sz="1400"/>
        </a:p>
      </xdr:txBody>
    </xdr:sp>
    <xdr:clientData fLocksWithSheet="0"/>
  </xdr:oneCellAnchor>
  <xdr:oneCellAnchor>
    <xdr:from>
      <xdr:col>0</xdr:col>
      <xdr:colOff>657225</xdr:colOff>
      <xdr:row>36</xdr:row>
      <xdr:rowOff>171450</xdr:rowOff>
    </xdr:from>
    <xdr:ext cx="4019550" cy="31432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54</xdr:row>
      <xdr:rowOff>161925</xdr:rowOff>
    </xdr:from>
    <xdr:ext cx="3429000" cy="44005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39</xdr:row>
      <xdr:rowOff>161925</xdr:rowOff>
    </xdr:from>
    <xdr:ext cx="6362700" cy="27908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1009650</xdr:colOff>
      <xdr:row>52</xdr:row>
      <xdr:rowOff>47625</xdr:rowOff>
    </xdr:from>
    <xdr:ext cx="5734050" cy="26765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8</xdr:row>
      <xdr:rowOff>171450</xdr:rowOff>
    </xdr:from>
    <xdr:ext cx="5086350" cy="3181350"/>
    <xdr:graphicFrame>
      <xdr:nvGraphicFramePr>
        <xdr:cNvPr id="20555328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685800</xdr:colOff>
      <xdr:row>9</xdr:row>
      <xdr:rowOff>38100</xdr:rowOff>
    </xdr:from>
    <xdr:ext cx="4000500" cy="2876550"/>
    <xdr:graphicFrame>
      <xdr:nvGraphicFramePr>
        <xdr:cNvPr id="14404214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904875</xdr:colOff>
      <xdr:row>25</xdr:row>
      <xdr:rowOff>76200</xdr:rowOff>
    </xdr:from>
    <xdr:ext cx="4000500" cy="2876550"/>
    <xdr:graphicFrame>
      <xdr:nvGraphicFramePr>
        <xdr:cNvPr id="93938391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247650</xdr:colOff>
      <xdr:row>26</xdr:row>
      <xdr:rowOff>28575</xdr:rowOff>
    </xdr:from>
    <xdr:ext cx="4933950" cy="3438525"/>
    <xdr:graphicFrame>
      <xdr:nvGraphicFramePr>
        <xdr:cNvPr id="17433727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447675</xdr:colOff>
      <xdr:row>51</xdr:row>
      <xdr:rowOff>19050</xdr:rowOff>
    </xdr:from>
    <xdr:ext cx="5010150" cy="3752850"/>
    <xdr:graphicFrame>
      <xdr:nvGraphicFramePr>
        <xdr:cNvPr id="139993143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952500</xdr:colOff>
      <xdr:row>52</xdr:row>
      <xdr:rowOff>28575</xdr:rowOff>
    </xdr:from>
    <xdr:ext cx="4000500" cy="2876550"/>
    <xdr:graphicFrame>
      <xdr:nvGraphicFramePr>
        <xdr:cNvPr id="184368337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704850</xdr:colOff>
      <xdr:row>71</xdr:row>
      <xdr:rowOff>95250</xdr:rowOff>
    </xdr:from>
    <xdr:ext cx="4010025" cy="2876550"/>
    <xdr:graphicFrame>
      <xdr:nvGraphicFramePr>
        <xdr:cNvPr id="4129649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457200</xdr:colOff>
      <xdr:row>70</xdr:row>
      <xdr:rowOff>161925</xdr:rowOff>
    </xdr:from>
    <xdr:ext cx="4000500" cy="2933700"/>
    <xdr:graphicFrame>
      <xdr:nvGraphicFramePr>
        <xdr:cNvPr id="91808818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914400</xdr:colOff>
      <xdr:row>51</xdr:row>
      <xdr:rowOff>161925</xdr:rowOff>
    </xdr:from>
    <xdr:ext cx="4000500" cy="2933700"/>
    <xdr:graphicFrame>
      <xdr:nvGraphicFramePr>
        <xdr:cNvPr id="37202096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ngocnguyen/Downloads/Statista-Market-Insights-Vietnam---Revenue%20Comparison-IT%20Servic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enue Comparison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57"/>
    <col customWidth="1" min="2" max="6" width="28.57"/>
    <col customWidth="1" min="7" max="7" width="11.86"/>
    <col customWidth="1" min="8" max="26" width="8.86"/>
  </cols>
  <sheetData>
    <row r="1">
      <c r="A1" s="1" t="s">
        <v>0</v>
      </c>
    </row>
    <row r="3">
      <c r="A3" s="2" t="s">
        <v>1</v>
      </c>
    </row>
    <row r="4">
      <c r="A4" s="2" t="s">
        <v>2</v>
      </c>
      <c r="B4" s="3" t="s">
        <v>3</v>
      </c>
      <c r="C4" s="4"/>
      <c r="D4" s="4"/>
      <c r="E4" s="4"/>
      <c r="F4" s="4"/>
    </row>
    <row r="5">
      <c r="A5" s="5"/>
      <c r="B5" s="6">
        <v>2019.0</v>
      </c>
      <c r="C5" s="6">
        <v>2020.0</v>
      </c>
      <c r="D5" s="6">
        <v>2021.0</v>
      </c>
      <c r="E5" s="6">
        <v>2022.0</v>
      </c>
      <c r="F5" s="6">
        <v>2023.0</v>
      </c>
    </row>
    <row r="6" ht="14.25" customHeight="1">
      <c r="A6" s="7" t="s">
        <v>4</v>
      </c>
      <c r="B6" s="8" t="s">
        <v>5</v>
      </c>
      <c r="C6" s="9" t="s">
        <v>6</v>
      </c>
      <c r="D6" s="9" t="s">
        <v>6</v>
      </c>
      <c r="E6" s="10" t="s">
        <v>7</v>
      </c>
      <c r="F6" s="9" t="s">
        <v>8</v>
      </c>
    </row>
    <row r="7" ht="12.0" customHeight="1">
      <c r="A7" s="11" t="s">
        <v>9</v>
      </c>
      <c r="B7" s="11"/>
      <c r="C7" s="11"/>
      <c r="D7" s="11"/>
      <c r="E7" s="11"/>
      <c r="F7" s="11"/>
    </row>
    <row r="8">
      <c r="A8" s="12" t="s">
        <v>10</v>
      </c>
      <c r="B8" s="13">
        <v>1.0162367E7</v>
      </c>
      <c r="C8" s="13">
        <v>1.7122109E7</v>
      </c>
      <c r="D8" s="13">
        <v>2.6148566E7</v>
      </c>
      <c r="E8" s="13">
        <v>1.9487411E7</v>
      </c>
      <c r="F8" s="13">
        <v>2.4383362E7</v>
      </c>
    </row>
    <row r="9">
      <c r="A9" s="14" t="s">
        <v>11</v>
      </c>
      <c r="B9" s="15">
        <v>2611644.0</v>
      </c>
      <c r="C9" s="15">
        <v>2216743.0</v>
      </c>
      <c r="D9" s="15">
        <v>3447377.0</v>
      </c>
      <c r="E9" s="15">
        <v>3880860.0</v>
      </c>
      <c r="F9" s="15">
        <v>5975128.0</v>
      </c>
    </row>
    <row r="10">
      <c r="A10" s="14" t="s">
        <v>12</v>
      </c>
      <c r="B10" s="15">
        <v>841744.0</v>
      </c>
      <c r="C10" s="15">
        <v>2469449.0</v>
      </c>
      <c r="D10" s="15">
        <v>1970468.0</v>
      </c>
      <c r="E10" s="15">
        <v>2559317.0</v>
      </c>
      <c r="F10" s="15">
        <v>2304029.0</v>
      </c>
    </row>
    <row r="11">
      <c r="A11" s="14" t="s">
        <v>13</v>
      </c>
      <c r="B11" s="15">
        <v>6708978.0</v>
      </c>
      <c r="C11" s="15">
        <v>1.2435918E7</v>
      </c>
      <c r="D11" s="15">
        <v>2.0730721E7</v>
      </c>
      <c r="E11" s="15">
        <v>1.3047234E7</v>
      </c>
      <c r="F11" s="15">
        <v>1.6104205E7</v>
      </c>
    </row>
    <row r="12">
      <c r="A12" s="12" t="s">
        <v>14</v>
      </c>
      <c r="B12" s="13">
        <v>5451422.0</v>
      </c>
      <c r="C12" s="13">
        <v>4941737.0</v>
      </c>
      <c r="D12" s="13">
        <v>5681961.0</v>
      </c>
      <c r="E12" s="13">
        <v>7290641.0</v>
      </c>
      <c r="F12" s="13">
        <v>8145491.0</v>
      </c>
    </row>
    <row r="13">
      <c r="A13" s="14" t="s">
        <v>15</v>
      </c>
      <c r="B13" s="15">
        <v>5812938.0</v>
      </c>
      <c r="C13" s="15">
        <v>5564392.0</v>
      </c>
      <c r="D13" s="15">
        <v>6211957.0</v>
      </c>
      <c r="E13" s="15">
        <v>7990077.0</v>
      </c>
      <c r="F13" s="15">
        <v>9057647.0</v>
      </c>
    </row>
    <row r="14">
      <c r="A14" s="14" t="s">
        <v>16</v>
      </c>
      <c r="B14" s="15">
        <v>-361516.0</v>
      </c>
      <c r="C14" s="15">
        <v>-622655.0</v>
      </c>
      <c r="D14" s="15">
        <v>-529996.0</v>
      </c>
      <c r="E14" s="15">
        <v>-699436.0</v>
      </c>
      <c r="F14" s="15">
        <v>-912157.0</v>
      </c>
    </row>
    <row r="15">
      <c r="A15" s="12" t="s">
        <v>17</v>
      </c>
      <c r="B15" s="13">
        <v>6565329.0</v>
      </c>
      <c r="C15" s="13">
        <v>6119914.0</v>
      </c>
      <c r="D15" s="13">
        <v>6770806.0</v>
      </c>
      <c r="E15" s="13">
        <v>8782249.0</v>
      </c>
      <c r="F15" s="13">
        <v>9797658.0</v>
      </c>
    </row>
    <row r="16">
      <c r="A16" s="14" t="s">
        <v>18</v>
      </c>
      <c r="B16" s="15">
        <v>394.0</v>
      </c>
      <c r="C16" s="15">
        <v>185532.0</v>
      </c>
      <c r="D16" s="15">
        <v>34762.0</v>
      </c>
      <c r="E16" s="15">
        <v>883.0</v>
      </c>
      <c r="F16" s="15">
        <v>515.0</v>
      </c>
    </row>
    <row r="17">
      <c r="A17" s="14" t="s">
        <v>19</v>
      </c>
      <c r="B17" s="15">
        <v>1113512.0</v>
      </c>
      <c r="C17" s="15">
        <v>992644.0</v>
      </c>
      <c r="D17" s="15">
        <v>1054084.0</v>
      </c>
      <c r="E17" s="15">
        <v>1490725.0</v>
      </c>
      <c r="F17" s="15">
        <v>1651652.0</v>
      </c>
    </row>
    <row r="18">
      <c r="A18" s="12" t="s">
        <v>20</v>
      </c>
      <c r="B18" s="13">
        <v>1284201.0</v>
      </c>
      <c r="C18" s="13">
        <v>1290092.0</v>
      </c>
      <c r="D18" s="13">
        <v>1507343.0</v>
      </c>
      <c r="E18" s="13">
        <v>1965788.0</v>
      </c>
      <c r="F18" s="13">
        <v>1593411.0</v>
      </c>
    </row>
    <row r="19">
      <c r="A19" s="14" t="s">
        <v>21</v>
      </c>
      <c r="B19" s="15">
        <v>567537.0</v>
      </c>
      <c r="C19" s="15">
        <v>279165.0</v>
      </c>
      <c r="D19" s="15">
        <v>419098.0</v>
      </c>
      <c r="E19" s="15">
        <v>571361.0</v>
      </c>
      <c r="F19" s="15">
        <v>455358.0</v>
      </c>
    </row>
    <row r="20">
      <c r="A20" s="14" t="s">
        <v>22</v>
      </c>
      <c r="B20" s="15">
        <v>538357.0</v>
      </c>
      <c r="C20" s="15">
        <v>561081.0</v>
      </c>
      <c r="D20" s="15">
        <v>644828.0</v>
      </c>
      <c r="E20" s="15">
        <v>636025.0</v>
      </c>
      <c r="F20" s="15">
        <v>589561.0</v>
      </c>
    </row>
    <row r="21" ht="15.75" customHeight="1">
      <c r="A21" s="14" t="s">
        <v>23</v>
      </c>
      <c r="B21" s="15">
        <v>201087.0</v>
      </c>
      <c r="C21" s="15">
        <v>531744.0</v>
      </c>
      <c r="D21" s="15">
        <v>518506.0</v>
      </c>
      <c r="E21" s="15">
        <v>836101.0</v>
      </c>
      <c r="F21" s="15">
        <v>641357.0</v>
      </c>
    </row>
    <row r="22" ht="15.75" customHeight="1">
      <c r="A22" s="14" t="s">
        <v>24</v>
      </c>
      <c r="B22" s="15">
        <v>-22781.0</v>
      </c>
      <c r="C22" s="15">
        <v>-81900.0</v>
      </c>
      <c r="D22" s="15">
        <v>-75089.0</v>
      </c>
      <c r="E22" s="15">
        <v>-77699.0</v>
      </c>
      <c r="F22" s="15">
        <v>-92865.0</v>
      </c>
    </row>
    <row r="23" ht="15.75" customHeight="1">
      <c r="A23" s="16" t="s">
        <v>25</v>
      </c>
      <c r="B23" s="17">
        <v>967280.0</v>
      </c>
      <c r="C23" s="17">
        <v>733818.0</v>
      </c>
      <c r="D23" s="17">
        <v>691658.0</v>
      </c>
      <c r="E23" s="17">
        <v>702263.0</v>
      </c>
      <c r="F23" s="17">
        <v>931320.0</v>
      </c>
    </row>
    <row r="24" ht="15.75" customHeight="1">
      <c r="A24" s="16" t="s">
        <v>26</v>
      </c>
      <c r="B24" s="17" t="s">
        <v>27</v>
      </c>
      <c r="C24" s="17" t="s">
        <v>27</v>
      </c>
      <c r="D24" s="17" t="s">
        <v>27</v>
      </c>
      <c r="E24" s="17" t="s">
        <v>27</v>
      </c>
      <c r="F24" s="17" t="s">
        <v>27</v>
      </c>
    </row>
    <row r="25" ht="15.75" customHeight="1">
      <c r="A25" s="16" t="s">
        <v>28</v>
      </c>
      <c r="B25" s="17">
        <v>1.8979176E7</v>
      </c>
      <c r="C25" s="17">
        <v>2.5265933E7</v>
      </c>
      <c r="D25" s="17">
        <v>3.5118373E7</v>
      </c>
      <c r="E25" s="17">
        <v>3.0937711E7</v>
      </c>
      <c r="F25" s="17">
        <v>3.6705752E7</v>
      </c>
    </row>
    <row r="26" ht="15.75" customHeight="1">
      <c r="A26" s="18" t="s">
        <v>29</v>
      </c>
      <c r="B26" s="19">
        <f t="shared" ref="B26:F26" si="1">B11+B12+B18+B23</f>
        <v>14411881</v>
      </c>
      <c r="C26" s="19">
        <f t="shared" si="1"/>
        <v>19401565</v>
      </c>
      <c r="D26" s="19">
        <f t="shared" si="1"/>
        <v>28611683</v>
      </c>
      <c r="E26" s="19">
        <f t="shared" si="1"/>
        <v>23005926</v>
      </c>
      <c r="F26" s="19">
        <f t="shared" si="1"/>
        <v>26774427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12" t="s">
        <v>30</v>
      </c>
      <c r="B27" s="13">
        <v>1.295759E7</v>
      </c>
      <c r="C27" s="13">
        <v>1.5324995E7</v>
      </c>
      <c r="D27" s="13">
        <v>1.7379429E7</v>
      </c>
      <c r="E27" s="13">
        <v>2.0124607E7</v>
      </c>
      <c r="F27" s="13">
        <v>2.3612265E7</v>
      </c>
    </row>
    <row r="28" ht="15.75" customHeight="1">
      <c r="A28" s="14" t="s">
        <v>31</v>
      </c>
      <c r="B28" s="15">
        <v>2244612.0</v>
      </c>
      <c r="C28" s="15">
        <v>3160000.0</v>
      </c>
      <c r="D28" s="15">
        <v>5056767.0</v>
      </c>
      <c r="E28" s="15">
        <v>5803698.0</v>
      </c>
      <c r="F28" s="15">
        <v>7146778.0</v>
      </c>
    </row>
    <row r="29" ht="15.75" customHeight="1">
      <c r="A29" s="14" t="s">
        <v>32</v>
      </c>
      <c r="B29" s="15">
        <v>8316497.0</v>
      </c>
      <c r="C29" s="15">
        <v>9035361.0</v>
      </c>
      <c r="D29" s="15">
        <v>1.0364008E7</v>
      </c>
      <c r="E29" s="15">
        <v>1.2416314E7</v>
      </c>
      <c r="F29" s="15">
        <v>1.4327417E7</v>
      </c>
    </row>
    <row r="30" ht="15.75" customHeight="1">
      <c r="A30" s="14" t="s">
        <v>33</v>
      </c>
      <c r="B30" s="15">
        <v>1650471.0</v>
      </c>
      <c r="C30" s="15">
        <v>2373393.0</v>
      </c>
      <c r="D30" s="15">
        <v>1290599.0</v>
      </c>
      <c r="E30" s="15">
        <v>1062185.0</v>
      </c>
      <c r="F30" s="15">
        <v>1315270.0</v>
      </c>
    </row>
    <row r="31" ht="15.75" customHeight="1">
      <c r="A31" s="14" t="s">
        <v>34</v>
      </c>
      <c r="B31" s="15">
        <v>746010.0</v>
      </c>
      <c r="C31" s="15">
        <v>756241.0</v>
      </c>
      <c r="D31" s="15">
        <v>668056.0</v>
      </c>
      <c r="E31" s="15">
        <v>842411.0</v>
      </c>
      <c r="F31" s="15">
        <v>822799.0</v>
      </c>
    </row>
    <row r="32" ht="15.75" customHeight="1">
      <c r="A32" s="12" t="s">
        <v>35</v>
      </c>
      <c r="B32" s="13">
        <v>7948578.0</v>
      </c>
      <c r="C32" s="13">
        <v>9595847.0</v>
      </c>
      <c r="D32" s="13">
        <v>1.0556376E7</v>
      </c>
      <c r="E32" s="13">
        <v>1.180804E7</v>
      </c>
      <c r="F32" s="13">
        <v>1.3701406E7</v>
      </c>
    </row>
    <row r="33" ht="15.75" customHeight="1">
      <c r="A33" s="21" t="s">
        <v>36</v>
      </c>
      <c r="B33" s="19">
        <v>-5009012.0</v>
      </c>
      <c r="C33" s="19">
        <v>-5729148.0</v>
      </c>
      <c r="D33" s="19">
        <v>-6823053.0</v>
      </c>
      <c r="E33" s="19">
        <v>-8316567.0</v>
      </c>
      <c r="F33" s="19">
        <v>-9910859.0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12" t="s">
        <v>37</v>
      </c>
      <c r="B34" s="13">
        <v>225929.0</v>
      </c>
      <c r="C34" s="13">
        <v>200034.0</v>
      </c>
      <c r="D34" s="13">
        <v>465985.0</v>
      </c>
      <c r="E34" s="13">
        <v>407945.0</v>
      </c>
      <c r="F34" s="13">
        <v>1283790.0</v>
      </c>
    </row>
    <row r="35" ht="15.75" customHeight="1">
      <c r="A35" s="14" t="s">
        <v>38</v>
      </c>
      <c r="B35" s="15" t="s">
        <v>27</v>
      </c>
      <c r="C35" s="15" t="s">
        <v>27</v>
      </c>
      <c r="D35" s="15" t="s">
        <v>27</v>
      </c>
      <c r="E35" s="15" t="s">
        <v>27</v>
      </c>
      <c r="F35" s="15" t="s">
        <v>27</v>
      </c>
    </row>
    <row r="36" ht="15.75" customHeight="1">
      <c r="A36" s="14" t="s">
        <v>39</v>
      </c>
      <c r="B36" s="15" t="s">
        <v>27</v>
      </c>
      <c r="C36" s="15" t="s">
        <v>27</v>
      </c>
      <c r="D36" s="15" t="s">
        <v>27</v>
      </c>
      <c r="E36" s="15" t="s">
        <v>27</v>
      </c>
      <c r="F36" s="15" t="s">
        <v>27</v>
      </c>
    </row>
    <row r="37" ht="15.75" customHeight="1">
      <c r="A37" s="12" t="s">
        <v>40</v>
      </c>
      <c r="B37" s="13">
        <v>1194061.0</v>
      </c>
      <c r="C37" s="13">
        <v>1095369.0</v>
      </c>
      <c r="D37" s="13">
        <v>1133060.0</v>
      </c>
      <c r="E37" s="13">
        <v>1287060.0</v>
      </c>
      <c r="F37" s="13">
        <v>1257097.0</v>
      </c>
    </row>
    <row r="38" ht="15.75" customHeight="1">
      <c r="A38" s="14" t="s">
        <v>41</v>
      </c>
      <c r="B38" s="15">
        <v>1973814.0</v>
      </c>
      <c r="C38" s="15">
        <v>2036968.0</v>
      </c>
      <c r="D38" s="15">
        <v>2249107.0</v>
      </c>
      <c r="E38" s="15">
        <v>2547883.0</v>
      </c>
      <c r="F38" s="15">
        <v>2595587.0</v>
      </c>
    </row>
    <row r="39" ht="15.75" customHeight="1">
      <c r="A39" s="14" t="s">
        <v>42</v>
      </c>
      <c r="B39" s="15">
        <v>-779753.0</v>
      </c>
      <c r="C39" s="15">
        <v>-941599.0</v>
      </c>
      <c r="D39" s="15">
        <v>-1116047.0</v>
      </c>
      <c r="E39" s="15">
        <v>-1260823.0</v>
      </c>
      <c r="F39" s="15">
        <v>-1338490.0</v>
      </c>
    </row>
    <row r="40" ht="15.75" customHeight="1">
      <c r="A40" s="12" t="s">
        <v>43</v>
      </c>
      <c r="B40" s="13">
        <v>2496552.0</v>
      </c>
      <c r="C40" s="13">
        <v>2581175.0</v>
      </c>
      <c r="D40" s="13">
        <v>3101994.0</v>
      </c>
      <c r="E40" s="13">
        <v>3238299.0</v>
      </c>
      <c r="F40" s="13">
        <v>3335009.0</v>
      </c>
    </row>
    <row r="41" ht="15.75" customHeight="1">
      <c r="A41" s="14" t="s">
        <v>44</v>
      </c>
      <c r="B41" s="15">
        <v>1602928.0</v>
      </c>
      <c r="C41" s="15">
        <v>1677518.0</v>
      </c>
      <c r="D41" s="15">
        <v>1170787.0</v>
      </c>
      <c r="E41" s="15">
        <v>829026.0</v>
      </c>
      <c r="F41" s="15">
        <v>484460.0</v>
      </c>
    </row>
    <row r="42" ht="15.75" customHeight="1">
      <c r="A42" s="14" t="s">
        <v>45</v>
      </c>
      <c r="B42" s="15">
        <v>893624.0</v>
      </c>
      <c r="C42" s="15">
        <v>903657.0</v>
      </c>
      <c r="D42" s="15">
        <v>1931207.0</v>
      </c>
      <c r="E42" s="15">
        <v>2409273.0</v>
      </c>
      <c r="F42" s="15">
        <v>2850549.0</v>
      </c>
    </row>
    <row r="43" ht="15.75" customHeight="1">
      <c r="A43" s="16" t="s">
        <v>46</v>
      </c>
      <c r="B43" s="17">
        <v>262485.0</v>
      </c>
      <c r="C43" s="17">
        <v>242873.0</v>
      </c>
      <c r="D43" s="17">
        <v>167244.0</v>
      </c>
      <c r="E43" s="17">
        <v>225091.0</v>
      </c>
      <c r="F43" s="17">
        <v>247392.0</v>
      </c>
    </row>
    <row r="44" ht="15.75" customHeight="1">
      <c r="A44" s="12" t="s">
        <v>47</v>
      </c>
      <c r="B44" s="13">
        <v>2287383.0</v>
      </c>
      <c r="C44" s="13">
        <v>2753092.0</v>
      </c>
      <c r="D44" s="13">
        <v>3154908.0</v>
      </c>
      <c r="E44" s="13">
        <v>3746258.0</v>
      </c>
      <c r="F44" s="13">
        <v>3752382.0</v>
      </c>
    </row>
    <row r="45" ht="15.75" customHeight="1">
      <c r="A45" s="14" t="s">
        <v>48</v>
      </c>
      <c r="B45" s="15">
        <v>2247132.0</v>
      </c>
      <c r="C45" s="15">
        <v>2613623.0</v>
      </c>
      <c r="D45" s="15">
        <v>2972697.0</v>
      </c>
      <c r="E45" s="15">
        <v>3488252.0</v>
      </c>
      <c r="F45" s="15">
        <v>3391435.0</v>
      </c>
    </row>
    <row r="46" ht="15.75" customHeight="1">
      <c r="A46" s="14" t="s">
        <v>49</v>
      </c>
      <c r="B46" s="15">
        <v>40251.0</v>
      </c>
      <c r="C46" s="15">
        <v>139470.0</v>
      </c>
      <c r="D46" s="15">
        <v>182212.0</v>
      </c>
      <c r="E46" s="15">
        <v>258006.0</v>
      </c>
      <c r="F46" s="15">
        <v>360947.0</v>
      </c>
    </row>
    <row r="47" ht="15.75" customHeight="1">
      <c r="A47" s="16" t="s">
        <v>50</v>
      </c>
      <c r="B47" s="17">
        <v>3.3394164E7</v>
      </c>
      <c r="C47" s="17">
        <v>4.1734323E7</v>
      </c>
      <c r="D47" s="17">
        <v>5.3697941E7</v>
      </c>
      <c r="E47" s="17">
        <v>5.1650404E7</v>
      </c>
      <c r="F47" s="17">
        <v>6.0282828E7</v>
      </c>
    </row>
    <row r="48" ht="15.75" customHeight="1">
      <c r="A48" s="22"/>
      <c r="B48" s="22"/>
      <c r="C48" s="22"/>
      <c r="D48" s="22"/>
      <c r="E48" s="22"/>
      <c r="F48" s="22"/>
    </row>
    <row r="49" ht="12.0" customHeight="1">
      <c r="A49" s="11" t="s">
        <v>51</v>
      </c>
      <c r="B49" s="11"/>
      <c r="C49" s="11"/>
      <c r="D49" s="11"/>
      <c r="E49" s="11"/>
      <c r="F49" s="11"/>
    </row>
    <row r="50" ht="15.75" customHeight="1">
      <c r="A50" s="16" t="s">
        <v>52</v>
      </c>
      <c r="B50" s="17">
        <v>2641797.0</v>
      </c>
      <c r="C50" s="17">
        <v>2824506.0</v>
      </c>
      <c r="D50" s="17">
        <v>2865815.0</v>
      </c>
      <c r="E50" s="17">
        <v>3209205.0</v>
      </c>
      <c r="F50" s="17">
        <v>2602977.0</v>
      </c>
    </row>
    <row r="51" ht="15.75" customHeight="1">
      <c r="A51" s="16" t="s">
        <v>53</v>
      </c>
      <c r="B51" s="17" t="s">
        <v>27</v>
      </c>
      <c r="C51" s="17" t="s">
        <v>27</v>
      </c>
      <c r="D51" s="17" t="s">
        <v>27</v>
      </c>
      <c r="E51" s="17" t="s">
        <v>27</v>
      </c>
      <c r="F51" s="17" t="s">
        <v>27</v>
      </c>
    </row>
    <row r="52" ht="15.75" customHeight="1">
      <c r="A52" s="16" t="s">
        <v>54</v>
      </c>
      <c r="B52" s="17">
        <v>2565156.0</v>
      </c>
      <c r="C52" s="17">
        <v>3383128.0</v>
      </c>
      <c r="D52" s="17">
        <v>4580063.0</v>
      </c>
      <c r="E52" s="17">
        <v>5146860.0</v>
      </c>
      <c r="F52" s="17">
        <v>6045270.0</v>
      </c>
    </row>
    <row r="53" ht="15.75" customHeight="1">
      <c r="A53" s="16" t="s">
        <v>55</v>
      </c>
      <c r="B53" s="17">
        <v>7159532.0</v>
      </c>
      <c r="C53" s="17">
        <v>1.1565885E7</v>
      </c>
      <c r="D53" s="17">
        <v>1.7381427E7</v>
      </c>
      <c r="E53" s="17">
        <v>1.0034701E7</v>
      </c>
      <c r="F53" s="17">
        <v>1.2531485E7</v>
      </c>
    </row>
    <row r="54" ht="15.75" customHeight="1">
      <c r="A54" s="16" t="s">
        <v>56</v>
      </c>
      <c r="B54" s="17">
        <v>354104.0</v>
      </c>
      <c r="C54" s="17">
        <v>496525.0</v>
      </c>
      <c r="D54" s="17">
        <v>418014.0</v>
      </c>
      <c r="E54" s="17">
        <v>869644.0</v>
      </c>
      <c r="F54" s="17">
        <v>1306409.0</v>
      </c>
    </row>
    <row r="55" ht="15.75" customHeight="1">
      <c r="A55" s="12" t="s">
        <v>57</v>
      </c>
      <c r="B55" s="13">
        <v>3381668.0</v>
      </c>
      <c r="C55" s="13">
        <v>4094667.0</v>
      </c>
      <c r="D55" s="13">
        <v>4515786.0</v>
      </c>
      <c r="E55" s="13">
        <v>5260752.0</v>
      </c>
      <c r="F55" s="13">
        <v>7165532.0</v>
      </c>
    </row>
    <row r="56" ht="15.75" customHeight="1">
      <c r="A56" s="14" t="s">
        <v>58</v>
      </c>
      <c r="B56" s="15">
        <v>2225948.0</v>
      </c>
      <c r="C56" s="15">
        <v>2428036.0</v>
      </c>
      <c r="D56" s="15">
        <v>3241028.0</v>
      </c>
      <c r="E56" s="15">
        <v>3691499.0</v>
      </c>
      <c r="F56" s="15">
        <v>4222215.0</v>
      </c>
    </row>
    <row r="57" ht="15.75" customHeight="1">
      <c r="A57" s="14" t="s">
        <v>59</v>
      </c>
      <c r="B57" s="15">
        <v>554462.0</v>
      </c>
      <c r="C57" s="15">
        <v>645972.0</v>
      </c>
      <c r="D57" s="15">
        <v>517653.0</v>
      </c>
      <c r="E57" s="15">
        <v>670649.0</v>
      </c>
      <c r="F57" s="15">
        <v>1432357.0</v>
      </c>
    </row>
    <row r="58" ht="15.75" customHeight="1">
      <c r="A58" s="14" t="s">
        <v>60</v>
      </c>
      <c r="B58" s="15">
        <v>39251.0</v>
      </c>
      <c r="C58" s="15">
        <v>64245.0</v>
      </c>
      <c r="D58" s="15">
        <v>89225.0</v>
      </c>
      <c r="E58" s="15">
        <v>78664.0</v>
      </c>
      <c r="F58" s="15">
        <v>78456.0</v>
      </c>
    </row>
    <row r="59" ht="15.75" customHeight="1">
      <c r="A59" s="14" t="s">
        <v>61</v>
      </c>
      <c r="B59" s="15">
        <v>562007.0</v>
      </c>
      <c r="C59" s="15">
        <v>956414.0</v>
      </c>
      <c r="D59" s="15">
        <v>667881.0</v>
      </c>
      <c r="E59" s="15">
        <v>819940.0</v>
      </c>
      <c r="F59" s="15">
        <v>1432503.0</v>
      </c>
    </row>
    <row r="60" ht="15.75" customHeight="1">
      <c r="A60" s="16" t="s">
        <v>62</v>
      </c>
      <c r="B60" s="17">
        <v>1.6102257E7</v>
      </c>
      <c r="C60" s="17">
        <v>2.2364711E7</v>
      </c>
      <c r="D60" s="17">
        <v>2.9761106E7</v>
      </c>
      <c r="E60" s="17">
        <v>2.4521162E7</v>
      </c>
      <c r="F60" s="17">
        <v>2.9651674E7</v>
      </c>
    </row>
    <row r="61" ht="15.75" customHeight="1">
      <c r="A61" s="21" t="s">
        <v>63</v>
      </c>
      <c r="B61" s="19">
        <f t="shared" ref="B61:F61" si="2">B50+B52+B55</f>
        <v>8588621</v>
      </c>
      <c r="C61" s="19">
        <f t="shared" si="2"/>
        <v>10302301</v>
      </c>
      <c r="D61" s="19">
        <f t="shared" si="2"/>
        <v>11961664</v>
      </c>
      <c r="E61" s="19">
        <f t="shared" si="2"/>
        <v>13616817</v>
      </c>
      <c r="F61" s="19">
        <f t="shared" si="2"/>
        <v>15813779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1" t="s">
        <v>64</v>
      </c>
      <c r="B62" s="23">
        <f t="shared" ref="B62:F62" si="3">B26-B61</f>
        <v>5823260</v>
      </c>
      <c r="C62" s="23">
        <f t="shared" si="3"/>
        <v>9099264</v>
      </c>
      <c r="D62" s="23">
        <f t="shared" si="3"/>
        <v>16650019</v>
      </c>
      <c r="E62" s="23">
        <f t="shared" si="3"/>
        <v>9389109</v>
      </c>
      <c r="F62" s="23">
        <f t="shared" si="3"/>
        <v>10960648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1" t="s">
        <v>65</v>
      </c>
      <c r="B63" s="23"/>
      <c r="C63" s="23">
        <f t="shared" ref="C63:F63" si="4">C62-B62</f>
        <v>3276004</v>
      </c>
      <c r="D63" s="23">
        <f t="shared" si="4"/>
        <v>7550755</v>
      </c>
      <c r="E63" s="23">
        <f t="shared" si="4"/>
        <v>-7260910</v>
      </c>
      <c r="F63" s="23">
        <f t="shared" si="4"/>
        <v>1571539</v>
      </c>
      <c r="G63" s="23">
        <f>G64*('Revenue breakdown'!G3-'Revenue breakdown'!F3)</f>
        <v>1592290.979</v>
      </c>
      <c r="H63" s="23">
        <f>H64*('Revenue breakdown'!H3-'Revenue breakdown'!G3)</f>
        <v>2669136.328</v>
      </c>
      <c r="I63" s="23">
        <f>I64*('Revenue breakdown'!I3-'Revenue breakdown'!H3)</f>
        <v>1999420.763</v>
      </c>
      <c r="J63" s="23">
        <f>J64*('Revenue breakdown'!J3-'Revenue breakdown'!I3)</f>
        <v>-313847.1634</v>
      </c>
      <c r="K63" s="23">
        <f>K64*('Revenue breakdown'!K3-'Revenue breakdown'!J3)</f>
        <v>3064968.319</v>
      </c>
      <c r="L63" s="23">
        <f>L64*('Revenue breakdown'!L3-'Revenue breakdown'!K3)</f>
        <v>3400960.821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1" t="s">
        <v>66</v>
      </c>
      <c r="B64" s="23"/>
      <c r="C64" s="24">
        <f>C63/('Revenue breakdown'!D3-'Revenue breakdown'!C3)</f>
        <v>0.5622244014</v>
      </c>
      <c r="D64" s="24">
        <f>D63/('Revenue breakdown'!E3-'Revenue breakdown'!D3)</f>
        <v>0.9040368092</v>
      </c>
      <c r="E64" s="24">
        <f>E63/('Revenue breakdown'!F3-'Revenue breakdown'!E3)</f>
        <v>-0.8434706535</v>
      </c>
      <c r="F64" s="24">
        <f>F63/('Revenue breakdown'!G3-'Revenue breakdown'!F3)</f>
        <v>0.2040050372</v>
      </c>
      <c r="G64" s="25">
        <f>AVERAGE(C64:F64)</f>
        <v>0.2066988986</v>
      </c>
      <c r="H64" s="25">
        <f t="shared" ref="H64:L64" si="5">AVERAGE(C64:G64)</f>
        <v>0.2066988986</v>
      </c>
      <c r="I64" s="25">
        <f t="shared" si="5"/>
        <v>0.135593798</v>
      </c>
      <c r="J64" s="25">
        <f t="shared" si="5"/>
        <v>-0.01809480422</v>
      </c>
      <c r="K64" s="25">
        <f t="shared" si="5"/>
        <v>0.1469803656</v>
      </c>
      <c r="L64" s="25">
        <f t="shared" si="5"/>
        <v>0.1355754313</v>
      </c>
      <c r="M64" s="25"/>
      <c r="N64" s="25"/>
      <c r="O64" s="25"/>
      <c r="P64" s="25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12" t="s">
        <v>67</v>
      </c>
      <c r="B65" s="13">
        <v>349769.0</v>
      </c>
      <c r="C65" s="13">
        <v>677797.0</v>
      </c>
      <c r="D65" s="13">
        <v>2296308.0</v>
      </c>
      <c r="E65" s="13">
        <v>1477830.0</v>
      </c>
      <c r="F65" s="13">
        <v>208075.0</v>
      </c>
    </row>
    <row r="66" ht="15.75" customHeight="1">
      <c r="A66" s="14" t="s">
        <v>68</v>
      </c>
      <c r="B66" s="15">
        <v>349769.0</v>
      </c>
      <c r="C66" s="15">
        <v>675785.0</v>
      </c>
      <c r="D66" s="15">
        <v>2292294.0</v>
      </c>
      <c r="E66" s="15">
        <v>1457600.0</v>
      </c>
      <c r="F66" s="15">
        <v>204684.0</v>
      </c>
    </row>
    <row r="67" ht="15.75" customHeight="1">
      <c r="A67" s="14" t="s">
        <v>69</v>
      </c>
      <c r="B67" s="15" t="s">
        <v>27</v>
      </c>
      <c r="C67" s="15">
        <v>2012.0</v>
      </c>
      <c r="D67" s="15">
        <v>4015.0</v>
      </c>
      <c r="E67" s="15">
        <v>20230.0</v>
      </c>
      <c r="F67" s="15">
        <v>3391.0</v>
      </c>
    </row>
    <row r="68" ht="15.75" customHeight="1">
      <c r="A68" s="21" t="s">
        <v>70</v>
      </c>
      <c r="B68" s="19">
        <v>7863405.0</v>
      </c>
      <c r="C68" s="19">
        <v>1.2740207E7</v>
      </c>
      <c r="D68" s="19">
        <v>2.009575E7</v>
      </c>
      <c r="E68" s="19">
        <v>1.2382175E7</v>
      </c>
      <c r="F68" s="19">
        <v>1.4045969E7</v>
      </c>
      <c r="G68" s="26">
        <f>F68-F9-F10</f>
        <v>5766812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1" t="s">
        <v>71</v>
      </c>
      <c r="B69" s="27">
        <f t="shared" ref="B69:F69" si="6">B68/B92</f>
        <v>0.5631116219</v>
      </c>
      <c r="C69" s="27">
        <f t="shared" si="6"/>
        <v>0.8091294613</v>
      </c>
      <c r="D69" s="27">
        <f t="shared" si="6"/>
        <v>1.120105497</v>
      </c>
      <c r="E69" s="27">
        <f t="shared" si="6"/>
        <v>0.5883255566</v>
      </c>
      <c r="F69" s="27">
        <f t="shared" si="6"/>
        <v>0.5624201675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1"/>
      <c r="B70" s="27"/>
      <c r="C70" s="28">
        <f t="shared" ref="C70:F70" si="7">C69/B69-1</f>
        <v>0.4368900052</v>
      </c>
      <c r="D70" s="28">
        <f t="shared" si="7"/>
        <v>0.3843340908</v>
      </c>
      <c r="E70" s="28">
        <f t="shared" si="7"/>
        <v>-0.474758799</v>
      </c>
      <c r="F70" s="28">
        <f t="shared" si="7"/>
        <v>-0.04403240487</v>
      </c>
      <c r="G70" s="25">
        <f t="shared" ref="G70:L70" si="8">AVERAGE(B70:F70)</f>
        <v>0.07560822304</v>
      </c>
      <c r="H70" s="25">
        <f t="shared" si="8"/>
        <v>0.07560822304</v>
      </c>
      <c r="I70" s="29">
        <f t="shared" si="8"/>
        <v>0.003351866601</v>
      </c>
      <c r="J70" s="29">
        <f t="shared" si="8"/>
        <v>-0.07284457825</v>
      </c>
      <c r="K70" s="29">
        <f t="shared" si="8"/>
        <v>0.007538265912</v>
      </c>
      <c r="L70" s="29">
        <f t="shared" si="8"/>
        <v>0.01785240007</v>
      </c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2" t="s">
        <v>72</v>
      </c>
      <c r="B71" s="13">
        <v>0.0</v>
      </c>
      <c r="C71" s="13">
        <v>258.0</v>
      </c>
      <c r="D71" s="13">
        <v>87366.0</v>
      </c>
      <c r="E71" s="13">
        <v>149305.0</v>
      </c>
      <c r="F71" s="13">
        <v>245717.0</v>
      </c>
    </row>
    <row r="72" ht="15.75" customHeight="1">
      <c r="A72" s="14" t="s">
        <v>73</v>
      </c>
      <c r="B72" s="15">
        <v>0.0</v>
      </c>
      <c r="C72" s="15">
        <v>258.0</v>
      </c>
      <c r="D72" s="15">
        <v>87366.0</v>
      </c>
      <c r="E72" s="15">
        <v>149305.0</v>
      </c>
      <c r="F72" s="15">
        <v>245717.0</v>
      </c>
    </row>
    <row r="73" ht="15.75" customHeight="1">
      <c r="A73" s="16" t="s">
        <v>74</v>
      </c>
      <c r="B73" s="17">
        <v>2835086.0</v>
      </c>
      <c r="C73" s="17">
        <v>2860094.0</v>
      </c>
      <c r="D73" s="17">
        <v>3477041.0</v>
      </c>
      <c r="E73" s="17">
        <v>4309656.0</v>
      </c>
      <c r="F73" s="17">
        <v>4958855.0</v>
      </c>
    </row>
    <row r="74" ht="15.75" customHeight="1">
      <c r="A74" s="12" t="s">
        <v>75</v>
      </c>
      <c r="B74" s="13">
        <v>142849.0</v>
      </c>
      <c r="C74" s="13">
        <v>85890.0</v>
      </c>
      <c r="D74" s="13">
        <v>135175.0</v>
      </c>
      <c r="E74" s="13">
        <v>145982.0</v>
      </c>
      <c r="F74" s="13">
        <v>244351.0</v>
      </c>
    </row>
    <row r="75" ht="15.75" customHeight="1">
      <c r="A75" s="14" t="s">
        <v>76</v>
      </c>
      <c r="B75" s="15">
        <v>7966.0</v>
      </c>
      <c r="C75" s="15">
        <v>6273.0</v>
      </c>
      <c r="D75" s="15">
        <v>5423.0</v>
      </c>
      <c r="E75" s="15">
        <v>2956.0</v>
      </c>
      <c r="F75" s="15">
        <v>69510.0</v>
      </c>
    </row>
    <row r="76" ht="15.75" customHeight="1">
      <c r="A76" s="14" t="s">
        <v>77</v>
      </c>
      <c r="B76" s="15">
        <v>134883.0</v>
      </c>
      <c r="C76" s="15">
        <v>79617.0</v>
      </c>
      <c r="D76" s="15">
        <v>129752.0</v>
      </c>
      <c r="E76" s="15">
        <v>143026.0</v>
      </c>
      <c r="F76" s="15">
        <v>174841.0</v>
      </c>
    </row>
    <row r="77" ht="15.75" customHeight="1">
      <c r="A77" s="16" t="s">
        <v>78</v>
      </c>
      <c r="B77" s="17">
        <v>1.9429961E7</v>
      </c>
      <c r="C77" s="17">
        <v>2.598875E7</v>
      </c>
      <c r="D77" s="17">
        <v>3.5756997E7</v>
      </c>
      <c r="E77" s="17">
        <v>3.0603935E7</v>
      </c>
      <c r="F77" s="17">
        <v>3.5308671E7</v>
      </c>
    </row>
    <row r="78" ht="15.75" customHeight="1">
      <c r="A78" s="22"/>
      <c r="B78" s="22"/>
      <c r="C78" s="22"/>
      <c r="D78" s="22"/>
      <c r="E78" s="22"/>
      <c r="F78" s="22"/>
    </row>
    <row r="79" ht="12.0" customHeight="1">
      <c r="A79" s="11" t="s">
        <v>79</v>
      </c>
      <c r="B79" s="11"/>
      <c r="C79" s="11"/>
      <c r="D79" s="11"/>
      <c r="E79" s="11"/>
      <c r="F79" s="11"/>
    </row>
    <row r="80" ht="15.75" customHeight="1">
      <c r="A80" s="16" t="s">
        <v>80</v>
      </c>
      <c r="B80" s="17" t="s">
        <v>27</v>
      </c>
      <c r="C80" s="17" t="s">
        <v>27</v>
      </c>
      <c r="D80" s="17" t="s">
        <v>27</v>
      </c>
      <c r="E80" s="17" t="s">
        <v>27</v>
      </c>
      <c r="F80" s="17" t="s">
        <v>27</v>
      </c>
    </row>
    <row r="81" ht="15.75" customHeight="1">
      <c r="A81" s="16" t="s">
        <v>81</v>
      </c>
      <c r="B81" s="17" t="s">
        <v>27</v>
      </c>
      <c r="C81" s="17" t="s">
        <v>27</v>
      </c>
      <c r="D81" s="17" t="s">
        <v>27</v>
      </c>
      <c r="E81" s="17" t="s">
        <v>27</v>
      </c>
      <c r="F81" s="17" t="s">
        <v>27</v>
      </c>
    </row>
    <row r="82" ht="15.75" customHeight="1">
      <c r="A82" s="12" t="s">
        <v>82</v>
      </c>
      <c r="B82" s="13">
        <v>6783587.0</v>
      </c>
      <c r="C82" s="13">
        <v>7839875.0</v>
      </c>
      <c r="D82" s="13">
        <v>9075516.0</v>
      </c>
      <c r="E82" s="13">
        <v>1.0970266E7</v>
      </c>
      <c r="F82" s="13">
        <v>1.2699689E7</v>
      </c>
    </row>
    <row r="83" ht="15.75" customHeight="1">
      <c r="A83" s="14" t="s">
        <v>83</v>
      </c>
      <c r="B83" s="15">
        <v>6783587.0</v>
      </c>
      <c r="C83" s="15">
        <v>7839875.0</v>
      </c>
      <c r="D83" s="15">
        <v>9075516.0</v>
      </c>
      <c r="E83" s="15">
        <v>1.0970266E7</v>
      </c>
      <c r="F83" s="15">
        <v>1.2699689E7</v>
      </c>
    </row>
    <row r="84" ht="15.75" customHeight="1">
      <c r="A84" s="16" t="s">
        <v>84</v>
      </c>
      <c r="B84" s="17">
        <v>49941.0</v>
      </c>
      <c r="C84" s="17">
        <v>49713.0</v>
      </c>
      <c r="D84" s="17">
        <v>49713.0</v>
      </c>
      <c r="E84" s="17">
        <v>49713.0</v>
      </c>
      <c r="F84" s="17">
        <v>49713.0</v>
      </c>
    </row>
    <row r="85" ht="15.75" customHeight="1">
      <c r="A85" s="16" t="s">
        <v>85</v>
      </c>
      <c r="B85" s="17">
        <v>5960677.0</v>
      </c>
      <c r="C85" s="17">
        <v>6390906.0</v>
      </c>
      <c r="D85" s="17">
        <v>7000481.0</v>
      </c>
      <c r="E85" s="17">
        <v>7711681.0</v>
      </c>
      <c r="F85" s="17">
        <v>8674127.0</v>
      </c>
    </row>
    <row r="86" ht="15.75" customHeight="1">
      <c r="A86" s="16" t="s">
        <v>86</v>
      </c>
      <c r="B86" s="17">
        <v>-824.0</v>
      </c>
      <c r="C86" s="17">
        <v>-824.0</v>
      </c>
      <c r="D86" s="17">
        <v>-824.0</v>
      </c>
      <c r="E86" s="17">
        <v>0.0</v>
      </c>
      <c r="F86" s="17">
        <v>0.0</v>
      </c>
    </row>
    <row r="87" ht="15.75" customHeight="1">
      <c r="A87" s="16" t="s">
        <v>87</v>
      </c>
      <c r="B87" s="17" t="s">
        <v>27</v>
      </c>
      <c r="C87" s="17" t="s">
        <v>27</v>
      </c>
      <c r="D87" s="17" t="s">
        <v>27</v>
      </c>
      <c r="E87" s="17" t="s">
        <v>27</v>
      </c>
      <c r="F87" s="17" t="s">
        <v>27</v>
      </c>
    </row>
    <row r="88" ht="15.75" customHeight="1">
      <c r="A88" s="16" t="s">
        <v>88</v>
      </c>
      <c r="B88" s="17" t="s">
        <v>27</v>
      </c>
      <c r="C88" s="17" t="s">
        <v>27</v>
      </c>
      <c r="D88" s="17" t="s">
        <v>27</v>
      </c>
      <c r="E88" s="17" t="s">
        <v>27</v>
      </c>
      <c r="F88" s="17" t="s">
        <v>27</v>
      </c>
    </row>
    <row r="89" ht="15.75" customHeight="1">
      <c r="A89" s="12" t="s">
        <v>89</v>
      </c>
      <c r="B89" s="13">
        <v>1170821.0</v>
      </c>
      <c r="C89" s="13">
        <v>1465903.0</v>
      </c>
      <c r="D89" s="13">
        <v>1816058.0</v>
      </c>
      <c r="E89" s="13">
        <v>2314808.0</v>
      </c>
      <c r="F89" s="13">
        <v>3550628.0</v>
      </c>
    </row>
    <row r="90" ht="15.75" customHeight="1">
      <c r="A90" s="14" t="s">
        <v>90</v>
      </c>
      <c r="B90" s="15">
        <v>-7773.0</v>
      </c>
      <c r="C90" s="15">
        <v>13497.0</v>
      </c>
      <c r="D90" s="15">
        <v>-22562.0</v>
      </c>
      <c r="E90" s="15">
        <v>-40481.0</v>
      </c>
      <c r="F90" s="15">
        <v>-17779.0</v>
      </c>
    </row>
    <row r="91" ht="15.75" customHeight="1">
      <c r="A91" s="14" t="s">
        <v>91</v>
      </c>
      <c r="B91" s="15">
        <v>1178595.0</v>
      </c>
      <c r="C91" s="15">
        <v>1452406.0</v>
      </c>
      <c r="D91" s="15">
        <v>1838619.0</v>
      </c>
      <c r="E91" s="15">
        <v>2355289.0</v>
      </c>
      <c r="F91" s="15">
        <v>3568406.0</v>
      </c>
    </row>
    <row r="92" ht="15.75" customHeight="1">
      <c r="A92" s="16" t="s">
        <v>92</v>
      </c>
      <c r="B92" s="17">
        <v>1.3964203E7</v>
      </c>
      <c r="C92" s="17">
        <v>1.5745573E7</v>
      </c>
      <c r="D92" s="17">
        <v>1.7940944E7</v>
      </c>
      <c r="E92" s="17">
        <v>2.1046468E7</v>
      </c>
      <c r="F92" s="17">
        <v>2.4974156E7</v>
      </c>
    </row>
    <row r="93" ht="15.75" customHeight="1">
      <c r="A93" s="22"/>
      <c r="B93" s="22"/>
      <c r="C93" s="22"/>
      <c r="D93" s="22"/>
      <c r="E93" s="22"/>
      <c r="F93" s="22"/>
    </row>
    <row r="94" ht="15.75" customHeight="1">
      <c r="A94" s="16" t="s">
        <v>93</v>
      </c>
      <c r="B94" s="17">
        <v>3.3394164E7</v>
      </c>
      <c r="C94" s="17">
        <v>4.1734323E7</v>
      </c>
      <c r="D94" s="17">
        <v>5.3697941E7</v>
      </c>
      <c r="E94" s="17">
        <v>5.1650404E7</v>
      </c>
      <c r="F94" s="17">
        <v>6.0282828E7</v>
      </c>
    </row>
    <row r="95" ht="15.75" customHeight="1">
      <c r="A95" s="22"/>
      <c r="B95" s="22"/>
      <c r="C95" s="22"/>
      <c r="D95" s="22"/>
      <c r="E95" s="22"/>
      <c r="F95" s="22"/>
    </row>
    <row r="96" ht="12.0" customHeight="1">
      <c r="A96" s="11" t="s">
        <v>94</v>
      </c>
      <c r="B96" s="11"/>
      <c r="C96" s="11"/>
      <c r="D96" s="11"/>
      <c r="E96" s="11"/>
      <c r="F96" s="11"/>
    </row>
    <row r="97" ht="15.75" customHeight="1">
      <c r="A97" s="16" t="s">
        <v>95</v>
      </c>
      <c r="B97" s="17" t="s">
        <v>27</v>
      </c>
      <c r="C97" s="17" t="s">
        <v>27</v>
      </c>
      <c r="D97" s="17" t="s">
        <v>27</v>
      </c>
      <c r="E97" s="17" t="s">
        <v>27</v>
      </c>
      <c r="F97" s="17" t="s">
        <v>27</v>
      </c>
    </row>
    <row r="98" ht="15.75" customHeight="1">
      <c r="A98" s="16" t="s">
        <v>96</v>
      </c>
      <c r="B98" s="17" t="s">
        <v>27</v>
      </c>
      <c r="C98" s="17" t="s">
        <v>27</v>
      </c>
      <c r="D98" s="17" t="s">
        <v>27</v>
      </c>
      <c r="E98" s="17" t="s">
        <v>27</v>
      </c>
      <c r="F98" s="17" t="s">
        <v>27</v>
      </c>
    </row>
    <row r="99" ht="15.75" customHeight="1">
      <c r="A99" s="16" t="s">
        <v>97</v>
      </c>
      <c r="B99" s="17" t="s">
        <v>27</v>
      </c>
      <c r="C99" s="17" t="s">
        <v>27</v>
      </c>
      <c r="D99" s="17" t="s">
        <v>27</v>
      </c>
      <c r="E99" s="17" t="s">
        <v>27</v>
      </c>
      <c r="F99" s="17" t="s">
        <v>27</v>
      </c>
    </row>
    <row r="100" ht="15.75" customHeight="1">
      <c r="A100" s="12" t="s">
        <v>98</v>
      </c>
      <c r="B100" s="13">
        <v>1424.0</v>
      </c>
      <c r="C100" s="13">
        <v>1431.0</v>
      </c>
      <c r="D100" s="13">
        <v>1440.0</v>
      </c>
      <c r="E100" s="13">
        <v>1451.0</v>
      </c>
      <c r="F100" s="13">
        <v>1460.0</v>
      </c>
    </row>
    <row r="101" ht="15.75" customHeight="1">
      <c r="A101" s="14" t="s">
        <v>99</v>
      </c>
      <c r="B101" s="15">
        <v>1424.0</v>
      </c>
      <c r="C101" s="15">
        <v>1431.0</v>
      </c>
      <c r="D101" s="15">
        <v>1440.0</v>
      </c>
      <c r="E101" s="15">
        <v>1451.0</v>
      </c>
      <c r="F101" s="15">
        <v>1460.0</v>
      </c>
    </row>
    <row r="102" ht="15.75" customHeight="1">
      <c r="A102" s="16" t="s">
        <v>100</v>
      </c>
      <c r="B102" s="17">
        <v>0.0</v>
      </c>
      <c r="C102" s="17">
        <v>0.0</v>
      </c>
      <c r="D102" s="17">
        <v>0.0</v>
      </c>
      <c r="E102" s="17">
        <v>0.0</v>
      </c>
      <c r="F102" s="17">
        <v>0.0</v>
      </c>
    </row>
    <row r="103" ht="15.75" customHeight="1">
      <c r="A103" s="16" t="s">
        <v>101</v>
      </c>
      <c r="B103" s="17" t="s">
        <v>27</v>
      </c>
      <c r="C103" s="17" t="s">
        <v>27</v>
      </c>
      <c r="D103" s="17" t="s">
        <v>27</v>
      </c>
      <c r="E103" s="17" t="s">
        <v>27</v>
      </c>
      <c r="F103" s="17" t="s">
        <v>27</v>
      </c>
    </row>
    <row r="104" ht="15.75" customHeight="1">
      <c r="A104" s="16" t="s">
        <v>102</v>
      </c>
      <c r="B104" s="17" t="s">
        <v>27</v>
      </c>
      <c r="C104" s="17" t="s">
        <v>27</v>
      </c>
      <c r="D104" s="17" t="s">
        <v>27</v>
      </c>
      <c r="E104" s="17" t="s">
        <v>27</v>
      </c>
      <c r="F104" s="17" t="s">
        <v>27</v>
      </c>
    </row>
    <row r="105" ht="15.75" customHeight="1">
      <c r="A105" s="16" t="s">
        <v>103</v>
      </c>
      <c r="B105" s="17" t="s">
        <v>27</v>
      </c>
      <c r="C105" s="17" t="s">
        <v>27</v>
      </c>
      <c r="D105" s="17" t="s">
        <v>27</v>
      </c>
      <c r="E105" s="17" t="s">
        <v>27</v>
      </c>
      <c r="F105" s="17" t="s">
        <v>27</v>
      </c>
    </row>
    <row r="106" ht="15.75" customHeight="1">
      <c r="A106" s="16" t="s">
        <v>104</v>
      </c>
      <c r="B106" s="17" t="s">
        <v>27</v>
      </c>
      <c r="C106" s="17" t="s">
        <v>27</v>
      </c>
      <c r="D106" s="17" t="s">
        <v>27</v>
      </c>
      <c r="E106" s="17" t="s">
        <v>27</v>
      </c>
      <c r="F106" s="17" t="s">
        <v>27</v>
      </c>
    </row>
    <row r="107" ht="15.75" customHeight="1">
      <c r="A107" s="16" t="s">
        <v>105</v>
      </c>
      <c r="B107" s="17" t="s">
        <v>27</v>
      </c>
      <c r="C107" s="17" t="s">
        <v>27</v>
      </c>
      <c r="D107" s="17" t="s">
        <v>27</v>
      </c>
      <c r="E107" s="17" t="s">
        <v>27</v>
      </c>
      <c r="F107" s="17" t="s">
        <v>27</v>
      </c>
    </row>
    <row r="108" ht="15.75" customHeight="1">
      <c r="A108" s="16" t="s">
        <v>106</v>
      </c>
      <c r="B108" s="17" t="s">
        <v>27</v>
      </c>
      <c r="C108" s="17" t="s">
        <v>27</v>
      </c>
      <c r="D108" s="17" t="s">
        <v>27</v>
      </c>
      <c r="E108" s="17" t="s">
        <v>27</v>
      </c>
      <c r="F108" s="17" t="s">
        <v>27</v>
      </c>
    </row>
    <row r="109" ht="15.75" customHeight="1">
      <c r="A109" s="16" t="s">
        <v>107</v>
      </c>
      <c r="B109" s="17" t="s">
        <v>27</v>
      </c>
      <c r="C109" s="17" t="s">
        <v>27</v>
      </c>
      <c r="D109" s="17" t="s">
        <v>27</v>
      </c>
      <c r="E109" s="17" t="s">
        <v>27</v>
      </c>
      <c r="F109" s="17" t="s">
        <v>27</v>
      </c>
    </row>
    <row r="110" ht="15.75" customHeight="1">
      <c r="A110" s="16" t="s">
        <v>108</v>
      </c>
      <c r="B110" s="17" t="s">
        <v>27</v>
      </c>
      <c r="C110" s="17" t="s">
        <v>27</v>
      </c>
      <c r="D110" s="17" t="s">
        <v>27</v>
      </c>
      <c r="E110" s="17" t="s">
        <v>27</v>
      </c>
      <c r="F110" s="17" t="s">
        <v>27</v>
      </c>
    </row>
    <row r="111" ht="15.75" customHeight="1">
      <c r="A111" s="16" t="s">
        <v>109</v>
      </c>
      <c r="B111" s="17" t="s">
        <v>27</v>
      </c>
      <c r="C111" s="17" t="s">
        <v>27</v>
      </c>
      <c r="D111" s="17" t="s">
        <v>27</v>
      </c>
      <c r="E111" s="17" t="s">
        <v>27</v>
      </c>
      <c r="F111" s="17" t="s">
        <v>27</v>
      </c>
    </row>
    <row r="112" ht="15.75" customHeight="1">
      <c r="A112" s="16" t="s">
        <v>110</v>
      </c>
      <c r="B112" s="17" t="s">
        <v>27</v>
      </c>
      <c r="C112" s="17" t="s">
        <v>27</v>
      </c>
      <c r="D112" s="17" t="s">
        <v>27</v>
      </c>
      <c r="E112" s="17" t="s">
        <v>27</v>
      </c>
      <c r="F112" s="17" t="s">
        <v>27</v>
      </c>
    </row>
    <row r="113" ht="15.75" customHeight="1">
      <c r="A113" s="16" t="s">
        <v>111</v>
      </c>
      <c r="B113" s="17" t="s">
        <v>27</v>
      </c>
      <c r="C113" s="17" t="s">
        <v>27</v>
      </c>
      <c r="D113" s="17" t="s">
        <v>27</v>
      </c>
      <c r="E113" s="17" t="s">
        <v>27</v>
      </c>
      <c r="F113" s="17" t="s">
        <v>27</v>
      </c>
    </row>
    <row r="114" ht="15.75" customHeight="1">
      <c r="A114" s="16" t="s">
        <v>112</v>
      </c>
      <c r="B114" s="17" t="s">
        <v>27</v>
      </c>
      <c r="C114" s="17" t="s">
        <v>27</v>
      </c>
      <c r="D114" s="17" t="s">
        <v>27</v>
      </c>
      <c r="E114" s="17" t="s">
        <v>27</v>
      </c>
      <c r="F114" s="17" t="s">
        <v>27</v>
      </c>
    </row>
    <row r="115" ht="15.75" customHeight="1">
      <c r="A115" s="16" t="s">
        <v>113</v>
      </c>
      <c r="B115" s="17">
        <v>1.3964203E7</v>
      </c>
      <c r="C115" s="17">
        <v>1.5745573E7</v>
      </c>
      <c r="D115" s="17">
        <v>1.7940944E7</v>
      </c>
      <c r="E115" s="17">
        <v>2.1046468E7</v>
      </c>
      <c r="F115" s="17">
        <v>2.4974156E7</v>
      </c>
    </row>
    <row r="116" ht="15.75" customHeight="1">
      <c r="A116" s="16" t="s">
        <v>114</v>
      </c>
      <c r="B116" s="17">
        <v>28781.0</v>
      </c>
      <c r="C116" s="17">
        <v>30651.0</v>
      </c>
      <c r="D116" s="17">
        <v>37180.0</v>
      </c>
      <c r="E116" s="17">
        <v>42408.0</v>
      </c>
      <c r="F116" s="17">
        <v>48162.0</v>
      </c>
    </row>
    <row r="117" ht="15.75" customHeight="1">
      <c r="A117" s="16" t="s">
        <v>115</v>
      </c>
      <c r="B117" s="17" t="s">
        <v>27</v>
      </c>
      <c r="C117" s="17" t="s">
        <v>27</v>
      </c>
      <c r="D117" s="17" t="s">
        <v>27</v>
      </c>
      <c r="E117" s="17" t="s">
        <v>27</v>
      </c>
      <c r="F117" s="17" t="s">
        <v>27</v>
      </c>
    </row>
    <row r="118" ht="15.75" customHeight="1">
      <c r="A118" s="16" t="s">
        <v>116</v>
      </c>
      <c r="B118" s="17" t="s">
        <v>27</v>
      </c>
      <c r="C118" s="17" t="s">
        <v>27</v>
      </c>
      <c r="D118" s="17" t="s">
        <v>27</v>
      </c>
      <c r="E118" s="17" t="s">
        <v>27</v>
      </c>
      <c r="F118" s="17" t="s">
        <v>27</v>
      </c>
    </row>
    <row r="119" ht="15.75" customHeight="1">
      <c r="A119" s="16" t="s">
        <v>117</v>
      </c>
      <c r="B119" s="17" t="s">
        <v>27</v>
      </c>
      <c r="C119" s="17" t="s">
        <v>27</v>
      </c>
      <c r="D119" s="17" t="s">
        <v>27</v>
      </c>
      <c r="E119" s="17" t="s">
        <v>27</v>
      </c>
      <c r="F119" s="17" t="s">
        <v>27</v>
      </c>
    </row>
    <row r="120" ht="15.75" customHeight="1">
      <c r="A120" s="16" t="s">
        <v>118</v>
      </c>
      <c r="B120" s="17" t="s">
        <v>27</v>
      </c>
      <c r="C120" s="17" t="s">
        <v>27</v>
      </c>
      <c r="D120" s="17" t="s">
        <v>27</v>
      </c>
      <c r="E120" s="17" t="s">
        <v>27</v>
      </c>
      <c r="F120" s="17" t="s">
        <v>27</v>
      </c>
    </row>
    <row r="121" ht="15.75" customHeight="1">
      <c r="A121" s="16" t="s">
        <v>119</v>
      </c>
      <c r="B121" s="17">
        <v>225929.0</v>
      </c>
      <c r="C121" s="17">
        <v>200034.0</v>
      </c>
      <c r="D121" s="17">
        <v>465985.0</v>
      </c>
      <c r="E121" s="17">
        <v>407945.0</v>
      </c>
      <c r="F121" s="17">
        <v>1283790.0</v>
      </c>
    </row>
    <row r="122" ht="15.75" customHeight="1">
      <c r="A122" s="16" t="s">
        <v>120</v>
      </c>
      <c r="B122" s="17" t="s">
        <v>27</v>
      </c>
      <c r="C122" s="17" t="s">
        <v>27</v>
      </c>
      <c r="D122" s="17" t="s">
        <v>27</v>
      </c>
      <c r="E122" s="17" t="s">
        <v>27</v>
      </c>
      <c r="F122" s="17" t="s">
        <v>27</v>
      </c>
    </row>
    <row r="123" ht="15.75" customHeight="1">
      <c r="A123" s="16" t="s">
        <v>121</v>
      </c>
      <c r="B123" s="17">
        <v>779753.0</v>
      </c>
      <c r="C123" s="17">
        <v>941599.0</v>
      </c>
      <c r="D123" s="17">
        <v>1116047.0</v>
      </c>
      <c r="E123" s="17">
        <v>1260823.0</v>
      </c>
      <c r="F123" s="17">
        <v>1338490.0</v>
      </c>
    </row>
    <row r="124" ht="15.75" customHeight="1">
      <c r="A124" s="16" t="s">
        <v>122</v>
      </c>
      <c r="B124" s="17" t="s">
        <v>27</v>
      </c>
      <c r="C124" s="17" t="s">
        <v>27</v>
      </c>
      <c r="D124" s="17" t="s">
        <v>27</v>
      </c>
      <c r="E124" s="17" t="s">
        <v>27</v>
      </c>
      <c r="F124" s="17" t="s">
        <v>27</v>
      </c>
    </row>
    <row r="125" ht="15.75" customHeight="1">
      <c r="A125" s="16" t="s">
        <v>123</v>
      </c>
      <c r="B125" s="17" t="s">
        <v>27</v>
      </c>
      <c r="C125" s="17" t="s">
        <v>27</v>
      </c>
      <c r="D125" s="17" t="s">
        <v>27</v>
      </c>
      <c r="E125" s="17" t="s">
        <v>27</v>
      </c>
      <c r="F125" s="17" t="s">
        <v>27</v>
      </c>
    </row>
    <row r="126" ht="15.75" customHeight="1">
      <c r="A126" s="16" t="s">
        <v>124</v>
      </c>
      <c r="B126" s="17" t="s">
        <v>27</v>
      </c>
      <c r="C126" s="17" t="s">
        <v>27</v>
      </c>
      <c r="D126" s="17" t="s">
        <v>27</v>
      </c>
      <c r="E126" s="17" t="s">
        <v>27</v>
      </c>
      <c r="F126" s="17" t="s">
        <v>27</v>
      </c>
    </row>
    <row r="127" ht="15.75" customHeight="1">
      <c r="A127" s="16" t="s">
        <v>125</v>
      </c>
      <c r="B127" s="17" t="s">
        <v>27</v>
      </c>
      <c r="C127" s="17" t="s">
        <v>27</v>
      </c>
      <c r="D127" s="17" t="s">
        <v>27</v>
      </c>
      <c r="E127" s="17" t="s">
        <v>27</v>
      </c>
      <c r="F127" s="17" t="s">
        <v>27</v>
      </c>
    </row>
    <row r="128" ht="15.75" customHeight="1">
      <c r="A128" s="16" t="s">
        <v>126</v>
      </c>
      <c r="B128" s="17" t="s">
        <v>27</v>
      </c>
      <c r="C128" s="17" t="s">
        <v>27</v>
      </c>
      <c r="D128" s="17" t="s">
        <v>27</v>
      </c>
      <c r="E128" s="17" t="s">
        <v>27</v>
      </c>
      <c r="F128" s="17" t="s">
        <v>27</v>
      </c>
    </row>
    <row r="129" ht="15.75" customHeight="1">
      <c r="A129" s="16" t="s">
        <v>127</v>
      </c>
      <c r="B129" s="17" t="s">
        <v>27</v>
      </c>
      <c r="C129" s="17" t="s">
        <v>27</v>
      </c>
      <c r="D129" s="17" t="s">
        <v>27</v>
      </c>
      <c r="E129" s="17" t="s">
        <v>27</v>
      </c>
      <c r="F129" s="17" t="s">
        <v>27</v>
      </c>
    </row>
    <row r="130" ht="15.75" customHeight="1">
      <c r="A130" s="16" t="s">
        <v>128</v>
      </c>
      <c r="B130" s="17" t="s">
        <v>27</v>
      </c>
      <c r="C130" s="17" t="s">
        <v>27</v>
      </c>
      <c r="D130" s="17" t="s">
        <v>27</v>
      </c>
      <c r="E130" s="17" t="s">
        <v>27</v>
      </c>
      <c r="F130" s="17" t="s">
        <v>27</v>
      </c>
    </row>
    <row r="131" ht="15.75" customHeight="1">
      <c r="A131" s="16" t="s">
        <v>129</v>
      </c>
      <c r="B131" s="17" t="s">
        <v>27</v>
      </c>
      <c r="C131" s="17" t="s">
        <v>27</v>
      </c>
      <c r="D131" s="17" t="s">
        <v>27</v>
      </c>
      <c r="E131" s="17" t="s">
        <v>27</v>
      </c>
      <c r="F131" s="17" t="s">
        <v>27</v>
      </c>
    </row>
    <row r="132" ht="15.75" customHeight="1">
      <c r="A132" s="16" t="s">
        <v>130</v>
      </c>
      <c r="B132" s="17" t="s">
        <v>27</v>
      </c>
      <c r="C132" s="17" t="s">
        <v>27</v>
      </c>
      <c r="D132" s="17" t="s">
        <v>27</v>
      </c>
      <c r="E132" s="17" t="s">
        <v>27</v>
      </c>
      <c r="F132" s="17" t="s">
        <v>27</v>
      </c>
    </row>
    <row r="133" ht="15.75" customHeight="1">
      <c r="A133" s="16" t="s">
        <v>131</v>
      </c>
      <c r="B133" s="17" t="s">
        <v>27</v>
      </c>
      <c r="C133" s="17" t="s">
        <v>27</v>
      </c>
      <c r="D133" s="17" t="s">
        <v>27</v>
      </c>
      <c r="E133" s="17" t="s">
        <v>27</v>
      </c>
      <c r="F133" s="17" t="s">
        <v>27</v>
      </c>
    </row>
    <row r="134" ht="15.75" customHeight="1">
      <c r="A134" s="16" t="s">
        <v>132</v>
      </c>
      <c r="B134" s="17" t="s">
        <v>27</v>
      </c>
      <c r="C134" s="17" t="s">
        <v>27</v>
      </c>
      <c r="D134" s="17" t="s">
        <v>27</v>
      </c>
      <c r="E134" s="17" t="s">
        <v>27</v>
      </c>
      <c r="F134" s="17" t="s">
        <v>27</v>
      </c>
    </row>
    <row r="135" ht="15.75" customHeight="1">
      <c r="A135" s="16" t="s">
        <v>133</v>
      </c>
      <c r="B135" s="17" t="s">
        <v>27</v>
      </c>
      <c r="C135" s="17" t="s">
        <v>27</v>
      </c>
      <c r="D135" s="17" t="s">
        <v>27</v>
      </c>
      <c r="E135" s="17" t="s">
        <v>27</v>
      </c>
      <c r="F135" s="17" t="s">
        <v>27</v>
      </c>
    </row>
    <row r="136" ht="15.75" customHeight="1">
      <c r="A136" s="16" t="s">
        <v>134</v>
      </c>
      <c r="B136" s="17" t="s">
        <v>27</v>
      </c>
      <c r="C136" s="17" t="s">
        <v>27</v>
      </c>
      <c r="D136" s="17" t="s">
        <v>27</v>
      </c>
      <c r="E136" s="17" t="s">
        <v>27</v>
      </c>
      <c r="F136" s="17" t="s">
        <v>27</v>
      </c>
    </row>
    <row r="137" ht="15.75" customHeight="1">
      <c r="A137" s="16" t="s">
        <v>135</v>
      </c>
      <c r="B137" s="17" t="s">
        <v>27</v>
      </c>
      <c r="C137" s="17" t="s">
        <v>27</v>
      </c>
      <c r="D137" s="17" t="s">
        <v>27</v>
      </c>
      <c r="E137" s="17" t="s">
        <v>27</v>
      </c>
      <c r="F137" s="17" t="s">
        <v>27</v>
      </c>
    </row>
    <row r="138" ht="15.75" customHeight="1">
      <c r="A138" s="16" t="s">
        <v>136</v>
      </c>
      <c r="B138" s="17" t="s">
        <v>27</v>
      </c>
      <c r="C138" s="17" t="s">
        <v>27</v>
      </c>
      <c r="D138" s="17" t="s">
        <v>27</v>
      </c>
      <c r="E138" s="17" t="s">
        <v>27</v>
      </c>
      <c r="F138" s="17" t="s">
        <v>27</v>
      </c>
    </row>
    <row r="139" ht="15.75" customHeight="1">
      <c r="A139" s="16" t="s">
        <v>137</v>
      </c>
      <c r="B139" s="17" t="s">
        <v>27</v>
      </c>
      <c r="C139" s="17" t="s">
        <v>27</v>
      </c>
      <c r="D139" s="17" t="s">
        <v>27</v>
      </c>
      <c r="E139" s="17" t="s">
        <v>27</v>
      </c>
      <c r="F139" s="17" t="s">
        <v>27</v>
      </c>
    </row>
    <row r="140" ht="15.75" customHeight="1">
      <c r="A140" s="16" t="s">
        <v>138</v>
      </c>
      <c r="B140" s="17">
        <v>2225948.0</v>
      </c>
      <c r="C140" s="17">
        <v>2428036.0</v>
      </c>
      <c r="D140" s="17">
        <v>3241028.0</v>
      </c>
      <c r="E140" s="17">
        <v>3691499.0</v>
      </c>
      <c r="F140" s="17">
        <v>4222215.0</v>
      </c>
    </row>
    <row r="141" ht="15.75" customHeight="1">
      <c r="A141" s="16" t="s">
        <v>139</v>
      </c>
      <c r="B141" s="17">
        <v>42777.0</v>
      </c>
      <c r="C141" s="17">
        <v>41125.0</v>
      </c>
      <c r="D141" s="17">
        <v>94844.0</v>
      </c>
      <c r="E141" s="17">
        <v>114879.0</v>
      </c>
      <c r="F141" s="17">
        <v>132927.0</v>
      </c>
    </row>
    <row r="142" ht="15.75" customHeight="1">
      <c r="A142" s="16" t="s">
        <v>140</v>
      </c>
      <c r="B142" s="17" t="s">
        <v>27</v>
      </c>
      <c r="C142" s="17" t="s">
        <v>27</v>
      </c>
      <c r="D142" s="17" t="s">
        <v>27</v>
      </c>
      <c r="E142" s="17" t="s">
        <v>27</v>
      </c>
      <c r="F142" s="17" t="s">
        <v>27</v>
      </c>
    </row>
    <row r="143" ht="15.75" customHeight="1">
      <c r="A143" s="16" t="s">
        <v>141</v>
      </c>
      <c r="B143" s="17" t="s">
        <v>27</v>
      </c>
      <c r="C143" s="17" t="s">
        <v>27</v>
      </c>
      <c r="D143" s="17" t="s">
        <v>27</v>
      </c>
      <c r="E143" s="17" t="s">
        <v>27</v>
      </c>
      <c r="F143" s="17" t="s">
        <v>27</v>
      </c>
    </row>
    <row r="144" ht="15.75" customHeight="1">
      <c r="A144" s="16" t="s">
        <v>142</v>
      </c>
      <c r="B144" s="17" t="s">
        <v>27</v>
      </c>
      <c r="C144" s="17" t="s">
        <v>27</v>
      </c>
      <c r="D144" s="17" t="s">
        <v>27</v>
      </c>
      <c r="E144" s="17" t="s">
        <v>27</v>
      </c>
      <c r="F144" s="17" t="s">
        <v>27</v>
      </c>
    </row>
    <row r="145" ht="15.75" customHeight="1">
      <c r="A145" s="16" t="s">
        <v>143</v>
      </c>
      <c r="B145" s="17" t="s">
        <v>27</v>
      </c>
      <c r="C145" s="17" t="s">
        <v>27</v>
      </c>
      <c r="D145" s="17" t="s">
        <v>27</v>
      </c>
      <c r="E145" s="17" t="s">
        <v>27</v>
      </c>
      <c r="F145" s="17" t="s">
        <v>27</v>
      </c>
    </row>
    <row r="146" ht="15.75" customHeight="1">
      <c r="A146" s="16" t="s">
        <v>144</v>
      </c>
      <c r="B146" s="17">
        <v>1096.0</v>
      </c>
      <c r="C146" s="17">
        <v>935.0</v>
      </c>
      <c r="D146" s="17">
        <v>1390.0</v>
      </c>
      <c r="E146" s="17">
        <v>13280.0</v>
      </c>
      <c r="F146" s="17">
        <v>1464.0</v>
      </c>
    </row>
    <row r="147" ht="15.75" customHeight="1">
      <c r="A147" s="16" t="s">
        <v>145</v>
      </c>
      <c r="B147" s="17" t="s">
        <v>27</v>
      </c>
      <c r="C147" s="17" t="s">
        <v>27</v>
      </c>
      <c r="D147" s="17" t="s">
        <v>27</v>
      </c>
      <c r="E147" s="17" t="s">
        <v>27</v>
      </c>
      <c r="F147" s="17" t="s">
        <v>27</v>
      </c>
    </row>
    <row r="148" ht="15.75" customHeight="1">
      <c r="A148" s="16" t="s">
        <v>146</v>
      </c>
      <c r="B148" s="17" t="s">
        <v>27</v>
      </c>
      <c r="C148" s="17" t="s">
        <v>27</v>
      </c>
      <c r="D148" s="17" t="s">
        <v>27</v>
      </c>
      <c r="E148" s="17" t="s">
        <v>27</v>
      </c>
      <c r="F148" s="17" t="s">
        <v>27</v>
      </c>
    </row>
    <row r="149" ht="15.75" customHeight="1">
      <c r="A149" s="16" t="s">
        <v>147</v>
      </c>
      <c r="B149" s="17" t="s">
        <v>27</v>
      </c>
      <c r="C149" s="17" t="s">
        <v>27</v>
      </c>
      <c r="D149" s="17" t="s">
        <v>27</v>
      </c>
      <c r="E149" s="17" t="s">
        <v>27</v>
      </c>
      <c r="F149" s="17" t="s">
        <v>27</v>
      </c>
    </row>
    <row r="150" ht="15.75" customHeight="1">
      <c r="A150" s="16" t="s">
        <v>148</v>
      </c>
      <c r="B150" s="17" t="s">
        <v>27</v>
      </c>
      <c r="C150" s="17" t="s">
        <v>27</v>
      </c>
      <c r="D150" s="17" t="s">
        <v>27</v>
      </c>
      <c r="E150" s="17" t="s">
        <v>27</v>
      </c>
      <c r="F150" s="17" t="s">
        <v>27</v>
      </c>
    </row>
    <row r="151" ht="15.75" customHeight="1">
      <c r="A151" s="16" t="s">
        <v>149</v>
      </c>
      <c r="B151" s="17" t="s">
        <v>27</v>
      </c>
      <c r="C151" s="17" t="s">
        <v>27</v>
      </c>
      <c r="D151" s="17" t="s">
        <v>27</v>
      </c>
      <c r="E151" s="17" t="s">
        <v>27</v>
      </c>
      <c r="F151" s="17" t="s">
        <v>27</v>
      </c>
    </row>
    <row r="152" ht="15.75" customHeight="1">
      <c r="A152" s="16" t="s">
        <v>150</v>
      </c>
      <c r="B152" s="17" t="s">
        <v>27</v>
      </c>
      <c r="C152" s="17" t="s">
        <v>27</v>
      </c>
      <c r="D152" s="17" t="s">
        <v>27</v>
      </c>
      <c r="E152" s="17" t="s">
        <v>27</v>
      </c>
      <c r="F152" s="17" t="s">
        <v>27</v>
      </c>
    </row>
    <row r="153" ht="15.75" customHeight="1">
      <c r="A153" s="16" t="s">
        <v>151</v>
      </c>
      <c r="B153" s="30" t="s">
        <v>27</v>
      </c>
      <c r="C153" s="30" t="s">
        <v>27</v>
      </c>
      <c r="D153" s="30" t="s">
        <v>27</v>
      </c>
      <c r="E153" s="30" t="s">
        <v>27</v>
      </c>
      <c r="F153" s="30" t="s">
        <v>27</v>
      </c>
    </row>
    <row r="154" ht="15.75" customHeight="1">
      <c r="A154" s="16" t="s">
        <v>152</v>
      </c>
      <c r="B154" s="30" t="s">
        <v>27</v>
      </c>
      <c r="C154" s="30" t="s">
        <v>27</v>
      </c>
      <c r="D154" s="30" t="s">
        <v>27</v>
      </c>
      <c r="E154" s="30" t="s">
        <v>27</v>
      </c>
      <c r="F154" s="30" t="s">
        <v>27</v>
      </c>
    </row>
    <row r="155" ht="15.75" customHeight="1">
      <c r="A155" s="16" t="s">
        <v>153</v>
      </c>
      <c r="B155" s="30" t="s">
        <v>27</v>
      </c>
      <c r="C155" s="30" t="s">
        <v>27</v>
      </c>
      <c r="D155" s="30" t="s">
        <v>27</v>
      </c>
      <c r="E155" s="30" t="s">
        <v>27</v>
      </c>
      <c r="F155" s="30" t="s">
        <v>27</v>
      </c>
    </row>
    <row r="156" ht="15.75" customHeight="1">
      <c r="A156" s="16" t="s">
        <v>154</v>
      </c>
      <c r="B156" s="17" t="s">
        <v>27</v>
      </c>
      <c r="C156" s="17" t="s">
        <v>27</v>
      </c>
      <c r="D156" s="17" t="s">
        <v>27</v>
      </c>
      <c r="E156" s="17" t="s">
        <v>27</v>
      </c>
      <c r="F156" s="17" t="s">
        <v>27</v>
      </c>
    </row>
    <row r="157" ht="15.75" customHeight="1">
      <c r="A157" s="16" t="s">
        <v>155</v>
      </c>
      <c r="B157" s="17" t="s">
        <v>27</v>
      </c>
      <c r="C157" s="17" t="s">
        <v>27</v>
      </c>
      <c r="D157" s="17" t="s">
        <v>27</v>
      </c>
      <c r="E157" s="17" t="s">
        <v>27</v>
      </c>
      <c r="F157" s="17" t="s">
        <v>27</v>
      </c>
    </row>
    <row r="158" ht="15.75" customHeight="1">
      <c r="A158" s="16" t="s">
        <v>156</v>
      </c>
      <c r="B158" s="17" t="s">
        <v>27</v>
      </c>
      <c r="C158" s="17" t="s">
        <v>27</v>
      </c>
      <c r="D158" s="17" t="s">
        <v>27</v>
      </c>
      <c r="E158" s="17" t="s">
        <v>27</v>
      </c>
      <c r="F158" s="17" t="s">
        <v>27</v>
      </c>
    </row>
    <row r="159" ht="15.75" customHeight="1">
      <c r="A159" s="16" t="s">
        <v>157</v>
      </c>
      <c r="B159" s="17" t="s">
        <v>27</v>
      </c>
      <c r="C159" s="17" t="s">
        <v>27</v>
      </c>
      <c r="D159" s="17" t="s">
        <v>27</v>
      </c>
      <c r="E159" s="17" t="s">
        <v>27</v>
      </c>
      <c r="F159" s="17" t="s">
        <v>27</v>
      </c>
    </row>
    <row r="160" ht="15.75" customHeight="1">
      <c r="A160" s="16" t="s">
        <v>158</v>
      </c>
      <c r="B160" s="17" t="s">
        <v>27</v>
      </c>
      <c r="C160" s="17" t="s">
        <v>27</v>
      </c>
      <c r="D160" s="17" t="s">
        <v>27</v>
      </c>
      <c r="E160" s="17" t="s">
        <v>27</v>
      </c>
      <c r="F160" s="17" t="s">
        <v>27</v>
      </c>
    </row>
    <row r="161" ht="15.75" customHeight="1">
      <c r="A161" s="16" t="s">
        <v>159</v>
      </c>
      <c r="B161" s="17" t="s">
        <v>27</v>
      </c>
      <c r="C161" s="17" t="s">
        <v>27</v>
      </c>
      <c r="D161" s="17" t="s">
        <v>27</v>
      </c>
      <c r="E161" s="17" t="s">
        <v>27</v>
      </c>
      <c r="F161" s="17" t="s">
        <v>27</v>
      </c>
    </row>
    <row r="162" ht="15.75" customHeight="1">
      <c r="A162" s="16" t="s">
        <v>160</v>
      </c>
      <c r="B162" s="17" t="s">
        <v>27</v>
      </c>
      <c r="C162" s="17" t="s">
        <v>27</v>
      </c>
      <c r="D162" s="17" t="s">
        <v>27</v>
      </c>
      <c r="E162" s="17" t="s">
        <v>27</v>
      </c>
      <c r="F162" s="17" t="s">
        <v>27</v>
      </c>
    </row>
    <row r="163" ht="15.75" customHeight="1">
      <c r="A163" s="16" t="s">
        <v>161</v>
      </c>
      <c r="B163" s="30" t="s">
        <v>27</v>
      </c>
      <c r="C163" s="30" t="s">
        <v>27</v>
      </c>
      <c r="D163" s="30" t="s">
        <v>27</v>
      </c>
      <c r="E163" s="30" t="s">
        <v>27</v>
      </c>
      <c r="F163" s="30" t="s">
        <v>27</v>
      </c>
    </row>
    <row r="164" ht="15.75" customHeight="1">
      <c r="A164" s="16" t="s">
        <v>162</v>
      </c>
      <c r="B164" s="30" t="s">
        <v>27</v>
      </c>
      <c r="C164" s="30" t="s">
        <v>27</v>
      </c>
      <c r="D164" s="30" t="s">
        <v>27</v>
      </c>
      <c r="E164" s="30" t="s">
        <v>27</v>
      </c>
      <c r="F164" s="30" t="s">
        <v>27</v>
      </c>
    </row>
    <row r="165" ht="15.75" customHeight="1">
      <c r="A165" s="16" t="s">
        <v>163</v>
      </c>
      <c r="B165" s="30" t="s">
        <v>27</v>
      </c>
      <c r="C165" s="30" t="s">
        <v>27</v>
      </c>
      <c r="D165" s="30" t="s">
        <v>27</v>
      </c>
      <c r="E165" s="30" t="s">
        <v>27</v>
      </c>
      <c r="F165" s="30" t="s">
        <v>27</v>
      </c>
    </row>
    <row r="166" ht="15.75" customHeight="1">
      <c r="A166" s="16" t="s">
        <v>164</v>
      </c>
      <c r="B166" s="30" t="s">
        <v>27</v>
      </c>
      <c r="C166" s="30" t="s">
        <v>27</v>
      </c>
      <c r="D166" s="30" t="s">
        <v>27</v>
      </c>
      <c r="E166" s="30" t="s">
        <v>27</v>
      </c>
      <c r="F166" s="30" t="s">
        <v>27</v>
      </c>
    </row>
    <row r="167" ht="15.75" customHeight="1">
      <c r="A167" s="16" t="s">
        <v>165</v>
      </c>
      <c r="B167" s="30" t="s">
        <v>27</v>
      </c>
      <c r="C167" s="30" t="s">
        <v>27</v>
      </c>
      <c r="D167" s="30" t="s">
        <v>27</v>
      </c>
      <c r="E167" s="30" t="s">
        <v>27</v>
      </c>
      <c r="F167" s="30" t="s">
        <v>27</v>
      </c>
    </row>
    <row r="168" ht="15.75" customHeight="1">
      <c r="A168" s="16" t="s">
        <v>166</v>
      </c>
      <c r="B168" s="17" t="s">
        <v>27</v>
      </c>
      <c r="C168" s="17" t="s">
        <v>27</v>
      </c>
      <c r="D168" s="17" t="s">
        <v>27</v>
      </c>
      <c r="E168" s="17" t="s">
        <v>27</v>
      </c>
      <c r="F168" s="17" t="s">
        <v>27</v>
      </c>
    </row>
    <row r="169" ht="15.75" customHeight="1">
      <c r="A169" s="16" t="s">
        <v>167</v>
      </c>
      <c r="B169" s="17" t="s">
        <v>27</v>
      </c>
      <c r="C169" s="17" t="s">
        <v>27</v>
      </c>
      <c r="D169" s="17" t="s">
        <v>27</v>
      </c>
      <c r="E169" s="17" t="s">
        <v>27</v>
      </c>
      <c r="F169" s="17" t="s">
        <v>27</v>
      </c>
    </row>
    <row r="170" ht="15.75" customHeight="1">
      <c r="A170" s="16" t="s">
        <v>168</v>
      </c>
      <c r="B170" s="17" t="s">
        <v>27</v>
      </c>
      <c r="C170" s="17" t="s">
        <v>27</v>
      </c>
      <c r="D170" s="17" t="s">
        <v>27</v>
      </c>
      <c r="E170" s="17" t="s">
        <v>27</v>
      </c>
      <c r="F170" s="17" t="s">
        <v>27</v>
      </c>
    </row>
    <row r="171" ht="15.75" customHeight="1">
      <c r="A171" s="16" t="s">
        <v>169</v>
      </c>
      <c r="B171" s="17" t="s">
        <v>27</v>
      </c>
      <c r="C171" s="17" t="s">
        <v>27</v>
      </c>
      <c r="D171" s="17" t="s">
        <v>27</v>
      </c>
      <c r="E171" s="17" t="s">
        <v>27</v>
      </c>
      <c r="F171" s="17" t="s">
        <v>27</v>
      </c>
    </row>
    <row r="172" ht="15.75" customHeight="1">
      <c r="A172" s="16" t="s">
        <v>170</v>
      </c>
      <c r="B172" s="17" t="s">
        <v>27</v>
      </c>
      <c r="C172" s="17" t="s">
        <v>27</v>
      </c>
      <c r="D172" s="17" t="s">
        <v>27</v>
      </c>
      <c r="E172" s="17" t="s">
        <v>27</v>
      </c>
      <c r="F172" s="17" t="s">
        <v>27</v>
      </c>
    </row>
    <row r="173" ht="15.75" customHeight="1">
      <c r="A173" s="16" t="s">
        <v>171</v>
      </c>
      <c r="B173" s="17" t="s">
        <v>27</v>
      </c>
      <c r="C173" s="17" t="s">
        <v>27</v>
      </c>
      <c r="D173" s="17" t="s">
        <v>27</v>
      </c>
      <c r="E173" s="17" t="s">
        <v>27</v>
      </c>
      <c r="F173" s="17" t="s">
        <v>27</v>
      </c>
    </row>
    <row r="174" ht="15.75" customHeight="1">
      <c r="A174" s="16" t="s">
        <v>172</v>
      </c>
      <c r="B174" s="17" t="s">
        <v>27</v>
      </c>
      <c r="C174" s="17" t="s">
        <v>27</v>
      </c>
      <c r="D174" s="17" t="s">
        <v>27</v>
      </c>
      <c r="E174" s="17" t="s">
        <v>27</v>
      </c>
      <c r="F174" s="17" t="s">
        <v>27</v>
      </c>
    </row>
    <row r="175" ht="15.75" customHeight="1">
      <c r="A175" s="16" t="s">
        <v>173</v>
      </c>
      <c r="B175" s="17">
        <v>1.7694975E7</v>
      </c>
      <c r="C175" s="17">
        <v>2.3975842E7</v>
      </c>
      <c r="D175" s="17">
        <v>3.361103E7</v>
      </c>
      <c r="E175" s="17">
        <v>2.8971923E7</v>
      </c>
      <c r="F175" s="17">
        <v>3.5112341E7</v>
      </c>
    </row>
    <row r="176" ht="15.75" customHeight="1">
      <c r="A176" s="16" t="s">
        <v>174</v>
      </c>
      <c r="B176" s="17" t="s">
        <v>27</v>
      </c>
      <c r="C176" s="17" t="s">
        <v>27</v>
      </c>
      <c r="D176" s="17" t="s">
        <v>27</v>
      </c>
      <c r="E176" s="17" t="s">
        <v>27</v>
      </c>
      <c r="F176" s="17" t="s">
        <v>27</v>
      </c>
    </row>
    <row r="177" ht="15.75" customHeight="1">
      <c r="A177" s="16" t="s">
        <v>175</v>
      </c>
      <c r="B177" s="17" t="s">
        <v>27</v>
      </c>
      <c r="C177" s="17" t="s">
        <v>27</v>
      </c>
      <c r="D177" s="17" t="s">
        <v>27</v>
      </c>
      <c r="E177" s="17" t="s">
        <v>27</v>
      </c>
      <c r="F177" s="17" t="s">
        <v>27</v>
      </c>
    </row>
    <row r="178" ht="15.75" customHeight="1">
      <c r="A178" s="16" t="s">
        <v>176</v>
      </c>
      <c r="B178" s="17" t="s">
        <v>27</v>
      </c>
      <c r="C178" s="17" t="s">
        <v>27</v>
      </c>
      <c r="D178" s="17" t="s">
        <v>27</v>
      </c>
      <c r="E178" s="17" t="s">
        <v>27</v>
      </c>
      <c r="F178" s="17" t="s">
        <v>27</v>
      </c>
    </row>
    <row r="179" ht="15.75" customHeight="1">
      <c r="A179" s="16" t="s">
        <v>177</v>
      </c>
      <c r="B179" s="17" t="s">
        <v>27</v>
      </c>
      <c r="C179" s="17" t="s">
        <v>27</v>
      </c>
      <c r="D179" s="17" t="s">
        <v>27</v>
      </c>
      <c r="E179" s="17" t="s">
        <v>27</v>
      </c>
      <c r="F179" s="17" t="s">
        <v>27</v>
      </c>
    </row>
    <row r="180" ht="15.75" customHeight="1">
      <c r="A180" s="16" t="s">
        <v>178</v>
      </c>
      <c r="B180" s="17" t="s">
        <v>27</v>
      </c>
      <c r="C180" s="17" t="s">
        <v>27</v>
      </c>
      <c r="D180" s="17" t="s">
        <v>27</v>
      </c>
      <c r="E180" s="17" t="s">
        <v>27</v>
      </c>
      <c r="F180" s="17" t="s">
        <v>27</v>
      </c>
    </row>
    <row r="181" ht="15.75" customHeight="1">
      <c r="A181" s="16" t="s">
        <v>179</v>
      </c>
      <c r="B181" s="17" t="s">
        <v>27</v>
      </c>
      <c r="C181" s="17" t="s">
        <v>27</v>
      </c>
      <c r="D181" s="17" t="s">
        <v>27</v>
      </c>
      <c r="E181" s="17" t="s">
        <v>27</v>
      </c>
      <c r="F181" s="17" t="s">
        <v>27</v>
      </c>
    </row>
    <row r="182" ht="15.75" customHeight="1">
      <c r="A182" s="16" t="s">
        <v>180</v>
      </c>
      <c r="B182" s="17" t="s">
        <v>27</v>
      </c>
      <c r="C182" s="17" t="s">
        <v>27</v>
      </c>
      <c r="D182" s="17" t="s">
        <v>27</v>
      </c>
      <c r="E182" s="17" t="s">
        <v>27</v>
      </c>
      <c r="F182" s="17" t="s">
        <v>27</v>
      </c>
    </row>
    <row r="183" ht="15.75" customHeight="1">
      <c r="A183" s="16" t="s">
        <v>181</v>
      </c>
      <c r="B183" s="17">
        <v>536124.0</v>
      </c>
      <c r="C183" s="17">
        <v>-1521808.0</v>
      </c>
      <c r="D183" s="17">
        <v>-2575775.0</v>
      </c>
      <c r="E183" s="17">
        <v>-2795580.0</v>
      </c>
      <c r="F183" s="17">
        <v>-5378538.0</v>
      </c>
    </row>
    <row r="184" ht="15.75" customHeight="1">
      <c r="A184" s="16" t="s">
        <v>182</v>
      </c>
      <c r="B184" s="17">
        <v>1.2544213E7</v>
      </c>
      <c r="C184" s="17">
        <v>1.445017E7</v>
      </c>
      <c r="D184" s="17">
        <v>1.6341899E7</v>
      </c>
      <c r="E184" s="17">
        <v>1.9351463E7</v>
      </c>
      <c r="F184" s="17">
        <v>2.2433269E7</v>
      </c>
    </row>
    <row r="185" ht="15.75" customHeight="1">
      <c r="A185" s="16" t="s">
        <v>183</v>
      </c>
      <c r="B185" s="17" t="s">
        <v>27</v>
      </c>
      <c r="C185" s="17" t="s">
        <v>27</v>
      </c>
      <c r="D185" s="17" t="s">
        <v>27</v>
      </c>
      <c r="E185" s="17" t="s">
        <v>27</v>
      </c>
      <c r="F185" s="17" t="s">
        <v>27</v>
      </c>
    </row>
    <row r="186" ht="15.75" customHeight="1">
      <c r="A186" s="16" t="s">
        <v>184</v>
      </c>
      <c r="B186" s="17" t="s">
        <v>27</v>
      </c>
      <c r="C186" s="17" t="s">
        <v>27</v>
      </c>
      <c r="D186" s="17" t="s">
        <v>27</v>
      </c>
      <c r="E186" s="17" t="s">
        <v>27</v>
      </c>
      <c r="F186" s="17" t="s">
        <v>27</v>
      </c>
    </row>
    <row r="187" ht="15.75" customHeight="1">
      <c r="A187" s="16" t="s">
        <v>185</v>
      </c>
      <c r="B187" s="17" t="s">
        <v>27</v>
      </c>
      <c r="C187" s="17" t="s">
        <v>27</v>
      </c>
      <c r="D187" s="17" t="s">
        <v>27</v>
      </c>
      <c r="E187" s="17" t="s">
        <v>27</v>
      </c>
      <c r="F187" s="17" t="s">
        <v>27</v>
      </c>
    </row>
    <row r="188" ht="15.75" customHeight="1">
      <c r="A188" s="16" t="s">
        <v>186</v>
      </c>
      <c r="B188" s="17" t="s">
        <v>27</v>
      </c>
      <c r="C188" s="17" t="s">
        <v>27</v>
      </c>
      <c r="D188" s="17" t="s">
        <v>27</v>
      </c>
      <c r="E188" s="17" t="s">
        <v>27</v>
      </c>
      <c r="F188" s="17" t="s">
        <v>27</v>
      </c>
    </row>
    <row r="189" ht="15.75" customHeight="1">
      <c r="A189" s="16" t="s">
        <v>187</v>
      </c>
      <c r="B189" s="17" t="s">
        <v>27</v>
      </c>
      <c r="C189" s="17" t="s">
        <v>27</v>
      </c>
      <c r="D189" s="17" t="s">
        <v>27</v>
      </c>
      <c r="E189" s="17" t="s">
        <v>27</v>
      </c>
      <c r="F189" s="17" t="s">
        <v>27</v>
      </c>
    </row>
    <row r="190" ht="15.75" customHeight="1">
      <c r="A190" s="16" t="s">
        <v>188</v>
      </c>
      <c r="B190" s="31" t="s">
        <v>27</v>
      </c>
      <c r="C190" s="31" t="s">
        <v>27</v>
      </c>
      <c r="D190" s="31" t="s">
        <v>27</v>
      </c>
      <c r="E190" s="31" t="s">
        <v>27</v>
      </c>
      <c r="F190" s="31" t="s">
        <v>27</v>
      </c>
    </row>
    <row r="191" ht="15.75" customHeight="1">
      <c r="A191" s="16" t="s">
        <v>189</v>
      </c>
      <c r="B191" s="30" t="s">
        <v>27</v>
      </c>
      <c r="C191" s="30" t="s">
        <v>27</v>
      </c>
      <c r="D191" s="30" t="s">
        <v>27</v>
      </c>
      <c r="E191" s="30" t="s">
        <v>27</v>
      </c>
      <c r="F191" s="30" t="s">
        <v>27</v>
      </c>
    </row>
    <row r="192" ht="15.75" customHeight="1">
      <c r="A192" s="16" t="s">
        <v>190</v>
      </c>
      <c r="B192" s="30" t="s">
        <v>27</v>
      </c>
      <c r="C192" s="30" t="s">
        <v>27</v>
      </c>
      <c r="D192" s="30" t="s">
        <v>27</v>
      </c>
      <c r="E192" s="30" t="s">
        <v>27</v>
      </c>
      <c r="F192" s="30" t="s">
        <v>27</v>
      </c>
    </row>
    <row r="193" ht="15.75" customHeight="1">
      <c r="A193" s="16" t="s">
        <v>191</v>
      </c>
      <c r="B193" s="17" t="s">
        <v>27</v>
      </c>
      <c r="C193" s="17" t="s">
        <v>27</v>
      </c>
      <c r="D193" s="17" t="s">
        <v>27</v>
      </c>
      <c r="E193" s="17" t="s">
        <v>27</v>
      </c>
      <c r="F193" s="17" t="s">
        <v>27</v>
      </c>
    </row>
    <row r="194" ht="15.75" customHeight="1">
      <c r="A194" s="16" t="s">
        <v>192</v>
      </c>
      <c r="B194" s="17" t="s">
        <v>27</v>
      </c>
      <c r="C194" s="17" t="s">
        <v>27</v>
      </c>
      <c r="D194" s="17" t="s">
        <v>27</v>
      </c>
      <c r="E194" s="17" t="s">
        <v>27</v>
      </c>
      <c r="F194" s="17" t="s">
        <v>27</v>
      </c>
    </row>
    <row r="195" ht="15.75" customHeight="1">
      <c r="A195" s="16" t="s">
        <v>193</v>
      </c>
      <c r="B195" s="17" t="s">
        <v>27</v>
      </c>
      <c r="C195" s="17" t="s">
        <v>27</v>
      </c>
      <c r="D195" s="17" t="s">
        <v>27</v>
      </c>
      <c r="E195" s="17" t="s">
        <v>27</v>
      </c>
      <c r="F195" s="17" t="s">
        <v>27</v>
      </c>
    </row>
    <row r="196" ht="15.75" customHeight="1">
      <c r="A196" s="16" t="s">
        <v>194</v>
      </c>
      <c r="B196" s="17" t="s">
        <v>27</v>
      </c>
      <c r="C196" s="17" t="s">
        <v>27</v>
      </c>
      <c r="D196" s="17" t="s">
        <v>27</v>
      </c>
      <c r="E196" s="17" t="s">
        <v>27</v>
      </c>
      <c r="F196" s="17" t="s">
        <v>27</v>
      </c>
    </row>
    <row r="197" ht="12.0" customHeight="1">
      <c r="A197" s="11" t="s">
        <v>195</v>
      </c>
      <c r="B197" s="11"/>
      <c r="C197" s="11"/>
      <c r="D197" s="11"/>
      <c r="E197" s="11"/>
      <c r="F197" s="11"/>
    </row>
    <row r="198" ht="15.75" customHeight="1">
      <c r="A198" s="12" t="s">
        <v>196</v>
      </c>
      <c r="B198" s="13" t="s">
        <v>27</v>
      </c>
      <c r="C198" s="13">
        <v>1171375.0</v>
      </c>
      <c r="D198" s="13">
        <v>2708918.0</v>
      </c>
      <c r="E198" s="13">
        <v>2313965.0</v>
      </c>
      <c r="F198" s="13">
        <v>1509629.0</v>
      </c>
    </row>
    <row r="199" ht="15.75" customHeight="1">
      <c r="A199" s="14" t="s">
        <v>197</v>
      </c>
      <c r="B199" s="15" t="s">
        <v>27</v>
      </c>
      <c r="C199" s="15">
        <v>495590.0</v>
      </c>
      <c r="D199" s="15">
        <v>416624.0</v>
      </c>
      <c r="E199" s="15">
        <v>856365.0</v>
      </c>
      <c r="F199" s="15">
        <v>1304945.0</v>
      </c>
    </row>
    <row r="200" ht="15.75" customHeight="1">
      <c r="A200" s="14" t="s">
        <v>198</v>
      </c>
      <c r="B200" s="15" t="s">
        <v>27</v>
      </c>
      <c r="C200" s="15">
        <v>321854.0</v>
      </c>
      <c r="D200" s="15">
        <v>867272.0</v>
      </c>
      <c r="E200" s="15">
        <v>1276573.0</v>
      </c>
      <c r="F200" s="15">
        <v>69377.0</v>
      </c>
    </row>
    <row r="201" ht="15.75" customHeight="1">
      <c r="A201" s="14" t="s">
        <v>199</v>
      </c>
      <c r="B201" s="15" t="s">
        <v>27</v>
      </c>
      <c r="C201" s="15">
        <v>107905.0</v>
      </c>
      <c r="D201" s="15">
        <v>467897.0</v>
      </c>
      <c r="E201" s="15">
        <v>58789.0</v>
      </c>
      <c r="F201" s="15">
        <v>43152.0</v>
      </c>
    </row>
    <row r="202" ht="15.75" customHeight="1">
      <c r="A202" s="14" t="s">
        <v>200</v>
      </c>
      <c r="B202" s="15" t="s">
        <v>27</v>
      </c>
      <c r="C202" s="15">
        <v>107905.0</v>
      </c>
      <c r="D202" s="15">
        <v>467897.0</v>
      </c>
      <c r="E202" s="15">
        <v>58789.0</v>
      </c>
      <c r="F202" s="15">
        <v>43152.0</v>
      </c>
    </row>
    <row r="203" ht="15.75" customHeight="1">
      <c r="A203" s="14" t="s">
        <v>201</v>
      </c>
      <c r="B203" s="15" t="s">
        <v>27</v>
      </c>
      <c r="C203" s="15">
        <v>107905.0</v>
      </c>
      <c r="D203" s="15">
        <v>467897.0</v>
      </c>
      <c r="E203" s="15">
        <v>58789.0</v>
      </c>
      <c r="F203" s="15">
        <v>43152.0</v>
      </c>
    </row>
    <row r="204" ht="15.75" customHeight="1">
      <c r="A204" s="14" t="s">
        <v>202</v>
      </c>
      <c r="B204" s="15" t="s">
        <v>27</v>
      </c>
      <c r="C204" s="15">
        <v>429759.0</v>
      </c>
      <c r="D204" s="15">
        <v>1335169.0</v>
      </c>
      <c r="E204" s="15">
        <v>1335362.0</v>
      </c>
      <c r="F204" s="15">
        <v>112530.0</v>
      </c>
    </row>
    <row r="205" ht="15.75" customHeight="1">
      <c r="A205" s="14" t="s">
        <v>203</v>
      </c>
      <c r="B205" s="15" t="s">
        <v>27</v>
      </c>
      <c r="C205" s="15">
        <v>215809.0</v>
      </c>
      <c r="D205" s="15">
        <v>935795.0</v>
      </c>
      <c r="E205" s="15">
        <v>117578.0</v>
      </c>
      <c r="F205" s="15">
        <v>86305.0</v>
      </c>
    </row>
    <row r="206" ht="15.75" customHeight="1">
      <c r="A206" s="14" t="s">
        <v>204</v>
      </c>
      <c r="B206" s="15" t="s">
        <v>27</v>
      </c>
      <c r="C206" s="15">
        <v>30217.0</v>
      </c>
      <c r="D206" s="15">
        <v>21330.0</v>
      </c>
      <c r="E206" s="15">
        <v>4660.0</v>
      </c>
      <c r="F206" s="15">
        <v>5849.0</v>
      </c>
    </row>
    <row r="207" ht="15.75" customHeight="1">
      <c r="A207" s="16" t="s">
        <v>205</v>
      </c>
      <c r="B207" s="17" t="s">
        <v>27</v>
      </c>
      <c r="C207" s="17" t="s">
        <v>27</v>
      </c>
      <c r="D207" s="17" t="s">
        <v>27</v>
      </c>
      <c r="E207" s="17" t="s">
        <v>27</v>
      </c>
      <c r="F207" s="17" t="s">
        <v>27</v>
      </c>
    </row>
    <row r="208" ht="15.75" customHeight="1">
      <c r="A208" s="12" t="s">
        <v>206</v>
      </c>
      <c r="B208" s="13" t="s">
        <v>27</v>
      </c>
      <c r="C208" s="13" t="s">
        <v>27</v>
      </c>
      <c r="D208" s="13" t="s">
        <v>27</v>
      </c>
      <c r="E208" s="13">
        <v>1746654.0</v>
      </c>
      <c r="F208" s="13">
        <v>2971340.0</v>
      </c>
    </row>
    <row r="209" ht="15.75" customHeight="1">
      <c r="A209" s="14" t="s">
        <v>207</v>
      </c>
      <c r="B209" s="15" t="s">
        <v>27</v>
      </c>
      <c r="C209" s="15" t="s">
        <v>27</v>
      </c>
      <c r="D209" s="15" t="s">
        <v>27</v>
      </c>
      <c r="E209" s="15">
        <v>556242.0</v>
      </c>
      <c r="F209" s="15">
        <v>774591.0</v>
      </c>
    </row>
    <row r="210" ht="15.75" customHeight="1">
      <c r="A210" s="14" t="s">
        <v>208</v>
      </c>
      <c r="B210" s="15" t="s">
        <v>27</v>
      </c>
      <c r="C210" s="15" t="s">
        <v>27</v>
      </c>
      <c r="D210" s="15" t="s">
        <v>27</v>
      </c>
      <c r="E210" s="15">
        <v>244888.0</v>
      </c>
      <c r="F210" s="15">
        <v>336247.0</v>
      </c>
    </row>
    <row r="211" ht="15.75" customHeight="1">
      <c r="A211" s="14" t="s">
        <v>209</v>
      </c>
      <c r="B211" s="15" t="s">
        <v>27</v>
      </c>
      <c r="C211" s="15" t="s">
        <v>27</v>
      </c>
      <c r="D211" s="15" t="s">
        <v>27</v>
      </c>
      <c r="E211" s="15">
        <v>244888.0</v>
      </c>
      <c r="F211" s="15">
        <v>336247.0</v>
      </c>
    </row>
    <row r="212" ht="15.75" customHeight="1">
      <c r="A212" s="14" t="s">
        <v>210</v>
      </c>
      <c r="B212" s="15" t="s">
        <v>27</v>
      </c>
      <c r="C212" s="15" t="s">
        <v>27</v>
      </c>
      <c r="D212" s="15" t="s">
        <v>27</v>
      </c>
      <c r="E212" s="15">
        <v>244888.0</v>
      </c>
      <c r="F212" s="15">
        <v>336247.0</v>
      </c>
    </row>
    <row r="213" ht="15.75" customHeight="1">
      <c r="A213" s="14" t="s">
        <v>211</v>
      </c>
      <c r="B213" s="15" t="s">
        <v>27</v>
      </c>
      <c r="C213" s="15" t="s">
        <v>27</v>
      </c>
      <c r="D213" s="15" t="s">
        <v>27</v>
      </c>
      <c r="E213" s="15">
        <v>244888.0</v>
      </c>
      <c r="F213" s="15">
        <v>336247.0</v>
      </c>
    </row>
    <row r="214" ht="15.75" customHeight="1">
      <c r="A214" s="14" t="s">
        <v>212</v>
      </c>
      <c r="B214" s="15" t="s">
        <v>27</v>
      </c>
      <c r="C214" s="15" t="s">
        <v>27</v>
      </c>
      <c r="D214" s="15" t="s">
        <v>27</v>
      </c>
      <c r="E214" s="15">
        <v>489775.0</v>
      </c>
      <c r="F214" s="15">
        <v>672494.0</v>
      </c>
    </row>
    <row r="215" ht="15.75" customHeight="1">
      <c r="A215" s="14" t="s">
        <v>213</v>
      </c>
      <c r="B215" s="15" t="s">
        <v>27</v>
      </c>
      <c r="C215" s="15" t="s">
        <v>27</v>
      </c>
      <c r="D215" s="15" t="s">
        <v>27</v>
      </c>
      <c r="E215" s="15">
        <v>489775.0</v>
      </c>
      <c r="F215" s="15">
        <v>672494.0</v>
      </c>
    </row>
    <row r="216" ht="15.75" customHeight="1">
      <c r="A216" s="14" t="s">
        <v>214</v>
      </c>
      <c r="B216" s="15" t="s">
        <v>27</v>
      </c>
      <c r="C216" s="15" t="s">
        <v>27</v>
      </c>
      <c r="D216" s="15" t="s">
        <v>27</v>
      </c>
      <c r="E216" s="15">
        <v>210862.0</v>
      </c>
      <c r="F216" s="15">
        <v>851762.0</v>
      </c>
    </row>
    <row r="217" ht="15.75" customHeight="1">
      <c r="A217" s="16" t="s">
        <v>215</v>
      </c>
      <c r="B217" s="17" t="s">
        <v>27</v>
      </c>
      <c r="C217" s="17" t="s">
        <v>27</v>
      </c>
      <c r="D217" s="17" t="s">
        <v>27</v>
      </c>
      <c r="E217" s="17" t="s">
        <v>27</v>
      </c>
      <c r="F217" s="17" t="s">
        <v>27</v>
      </c>
    </row>
    <row r="218" ht="15.75" customHeight="1">
      <c r="A218" s="16" t="s">
        <v>216</v>
      </c>
      <c r="B218" s="17" t="s">
        <v>27</v>
      </c>
      <c r="C218" s="17" t="s">
        <v>27</v>
      </c>
      <c r="D218" s="17" t="s">
        <v>27</v>
      </c>
      <c r="E218" s="17" t="s">
        <v>27</v>
      </c>
      <c r="F218" s="17" t="s">
        <v>27</v>
      </c>
    </row>
    <row r="219" ht="15.75" customHeight="1">
      <c r="A219" s="16" t="s">
        <v>217</v>
      </c>
      <c r="B219" s="17" t="s">
        <v>27</v>
      </c>
      <c r="C219" s="17" t="s">
        <v>27</v>
      </c>
      <c r="D219" s="17" t="s">
        <v>27</v>
      </c>
      <c r="E219" s="17" t="s">
        <v>27</v>
      </c>
      <c r="F219" s="17" t="s">
        <v>27</v>
      </c>
    </row>
    <row r="220" ht="15.75" customHeight="1">
      <c r="A220" s="16" t="s">
        <v>218</v>
      </c>
      <c r="B220" s="17" t="s">
        <v>27</v>
      </c>
      <c r="C220" s="17" t="s">
        <v>27</v>
      </c>
      <c r="D220" s="17" t="s">
        <v>27</v>
      </c>
      <c r="E220" s="17" t="s">
        <v>27</v>
      </c>
      <c r="F220" s="17" t="s">
        <v>27</v>
      </c>
    </row>
    <row r="221" ht="15.75" customHeight="1">
      <c r="A221" s="16" t="s">
        <v>219</v>
      </c>
      <c r="B221" s="17" t="s">
        <v>27</v>
      </c>
      <c r="C221" s="17" t="s">
        <v>27</v>
      </c>
      <c r="D221" s="17" t="s">
        <v>27</v>
      </c>
      <c r="E221" s="17" t="s">
        <v>27</v>
      </c>
      <c r="F221" s="17" t="s">
        <v>27</v>
      </c>
    </row>
    <row r="222" ht="15.75" customHeight="1">
      <c r="A222" s="16" t="s">
        <v>220</v>
      </c>
      <c r="B222" s="17" t="s">
        <v>27</v>
      </c>
      <c r="C222" s="17" t="s">
        <v>27</v>
      </c>
      <c r="D222" s="17" t="s">
        <v>27</v>
      </c>
      <c r="E222" s="17" t="s">
        <v>27</v>
      </c>
      <c r="F222" s="17" t="s">
        <v>27</v>
      </c>
    </row>
    <row r="223" ht="15.75" customHeight="1">
      <c r="A223" s="16" t="s">
        <v>221</v>
      </c>
      <c r="B223" s="17" t="s">
        <v>27</v>
      </c>
      <c r="C223" s="17" t="s">
        <v>27</v>
      </c>
      <c r="D223" s="17" t="s">
        <v>27</v>
      </c>
      <c r="E223" s="17" t="s">
        <v>27</v>
      </c>
      <c r="F223" s="17" t="s">
        <v>27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F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6" width="28.57"/>
    <col customWidth="1" min="7" max="13" width="29.29"/>
    <col customWidth="1" min="14" max="26" width="8.86"/>
  </cols>
  <sheetData>
    <row r="1">
      <c r="A1" s="1" t="s">
        <v>222</v>
      </c>
    </row>
    <row r="3">
      <c r="A3" s="2" t="s">
        <v>223</v>
      </c>
    </row>
    <row r="4">
      <c r="A4" s="2" t="s">
        <v>2</v>
      </c>
    </row>
    <row r="5">
      <c r="A5" s="32"/>
      <c r="B5" s="33"/>
      <c r="C5" s="6">
        <v>2019.0</v>
      </c>
      <c r="D5" s="6">
        <v>2020.0</v>
      </c>
      <c r="E5" s="6">
        <v>2021.0</v>
      </c>
      <c r="F5" s="6">
        <v>2022.0</v>
      </c>
      <c r="G5" s="6">
        <v>2023.0</v>
      </c>
      <c r="H5" s="34" t="str">
        <f>'Revenue breakdown'!G2</f>
        <v>2024F</v>
      </c>
      <c r="I5" s="34" t="str">
        <f>'Revenue breakdown'!H2</f>
        <v>2025F</v>
      </c>
      <c r="J5" s="34" t="str">
        <f>'Revenue breakdown'!I2</f>
        <v>2026F</v>
      </c>
      <c r="K5" s="34" t="str">
        <f>'Revenue breakdown'!J2</f>
        <v>2027F</v>
      </c>
      <c r="L5" s="34" t="str">
        <f>'Revenue breakdown'!K2</f>
        <v>2028F</v>
      </c>
      <c r="M5" s="34" t="str">
        <f>'Revenue breakdown'!L2</f>
        <v>2029F</v>
      </c>
    </row>
    <row r="6" ht="14.25" hidden="1" customHeight="1">
      <c r="A6" s="35" t="s">
        <v>4</v>
      </c>
      <c r="B6" s="36"/>
      <c r="C6" s="8" t="s">
        <v>5</v>
      </c>
      <c r="D6" s="9" t="s">
        <v>6</v>
      </c>
      <c r="E6" s="9" t="s">
        <v>6</v>
      </c>
      <c r="F6" s="10" t="s">
        <v>7</v>
      </c>
      <c r="G6" s="9" t="s">
        <v>8</v>
      </c>
    </row>
    <row r="7">
      <c r="A7" s="37" t="s">
        <v>224</v>
      </c>
      <c r="B7" s="38"/>
      <c r="C7" s="13">
        <v>2.771696E7</v>
      </c>
      <c r="D7" s="13">
        <v>2.9830401E7</v>
      </c>
      <c r="E7" s="13">
        <v>3.5657263E7</v>
      </c>
      <c r="F7" s="13">
        <v>4.4009528E7</v>
      </c>
      <c r="G7" s="13">
        <v>5.2617901E7</v>
      </c>
      <c r="H7" s="39">
        <f>'Revenue breakdown'!G3</f>
        <v>60321333.33</v>
      </c>
      <c r="I7" s="39">
        <f>'Revenue breakdown'!H3</f>
        <v>73234495.17</v>
      </c>
      <c r="J7" s="39">
        <f>'Revenue breakdown'!I3</f>
        <v>87980160.47</v>
      </c>
      <c r="K7" s="39">
        <f>'Revenue breakdown'!J3</f>
        <v>105324761.7</v>
      </c>
      <c r="L7" s="39">
        <f>'Revenue breakdown'!K3</f>
        <v>126177671.6</v>
      </c>
      <c r="M7" s="39">
        <f>'Revenue breakdown'!L3</f>
        <v>151263048.7</v>
      </c>
    </row>
    <row r="8">
      <c r="A8" s="40" t="s">
        <v>225</v>
      </c>
      <c r="B8" s="38"/>
      <c r="C8" s="15">
        <v>2.7791982E7</v>
      </c>
      <c r="D8" s="15">
        <v>2.9921698E7</v>
      </c>
      <c r="E8" s="15">
        <v>3.5671052E7</v>
      </c>
      <c r="F8" s="15">
        <v>4.4023011E7</v>
      </c>
      <c r="G8" s="15">
        <v>5.2625175E7</v>
      </c>
    </row>
    <row r="9">
      <c r="A9" s="40" t="s">
        <v>226</v>
      </c>
      <c r="B9" s="38"/>
      <c r="C9" s="15">
        <v>-75022.0</v>
      </c>
      <c r="D9" s="15">
        <v>-91298.0</v>
      </c>
      <c r="E9" s="15">
        <v>-13790.0</v>
      </c>
      <c r="F9" s="15">
        <v>-13483.0</v>
      </c>
      <c r="G9" s="15">
        <v>-7274.0</v>
      </c>
    </row>
    <row r="10">
      <c r="A10" s="41" t="s">
        <v>227</v>
      </c>
      <c r="B10" s="38"/>
      <c r="C10" s="17" t="s">
        <v>27</v>
      </c>
      <c r="D10" s="17" t="s">
        <v>27</v>
      </c>
      <c r="E10" s="17" t="s">
        <v>27</v>
      </c>
      <c r="F10" s="17" t="s">
        <v>27</v>
      </c>
      <c r="G10" s="17" t="s">
        <v>27</v>
      </c>
    </row>
    <row r="11">
      <c r="A11" s="41" t="s">
        <v>228</v>
      </c>
      <c r="B11" s="38"/>
      <c r="C11" s="17">
        <v>2.771696E7</v>
      </c>
      <c r="D11" s="17">
        <v>2.9830401E7</v>
      </c>
      <c r="E11" s="17">
        <v>3.5657263E7</v>
      </c>
      <c r="F11" s="17">
        <v>4.4009528E7</v>
      </c>
      <c r="G11" s="17">
        <v>5.2617901E7</v>
      </c>
    </row>
    <row r="12">
      <c r="A12" s="37" t="s">
        <v>229</v>
      </c>
      <c r="B12" s="38"/>
      <c r="C12" s="13">
        <v>1.7004911E7</v>
      </c>
      <c r="D12" s="13">
        <v>1.8016743E7</v>
      </c>
      <c r="E12" s="13">
        <v>2.2025298E7</v>
      </c>
      <c r="F12" s="13">
        <v>2.6842249E7</v>
      </c>
      <c r="G12" s="13">
        <v>3.2298347E7</v>
      </c>
      <c r="I12" s="42"/>
    </row>
    <row r="13">
      <c r="A13" s="40" t="s">
        <v>230</v>
      </c>
      <c r="B13" s="38"/>
      <c r="C13" s="15">
        <v>1.7004911E7</v>
      </c>
      <c r="D13" s="15">
        <v>1.8016743E7</v>
      </c>
      <c r="E13" s="15">
        <v>2.2025298E7</v>
      </c>
      <c r="F13" s="15">
        <v>2.6842249E7</v>
      </c>
      <c r="G13" s="15">
        <v>3.2298347E7</v>
      </c>
    </row>
    <row r="14">
      <c r="A14" s="41" t="s">
        <v>231</v>
      </c>
      <c r="B14" s="38"/>
      <c r="C14" s="17">
        <v>1.071205E7</v>
      </c>
      <c r="D14" s="17">
        <v>1.1813657E7</v>
      </c>
      <c r="E14" s="17">
        <v>1.3631964E7</v>
      </c>
      <c r="F14" s="17">
        <v>1.7167279E7</v>
      </c>
      <c r="G14" s="17">
        <v>2.0319553E7</v>
      </c>
    </row>
    <row r="15">
      <c r="A15" s="43"/>
      <c r="B15" s="44"/>
      <c r="C15" s="22"/>
      <c r="D15" s="22"/>
      <c r="E15" s="22"/>
      <c r="F15" s="22"/>
      <c r="G15" s="22"/>
    </row>
    <row r="16">
      <c r="A16" s="37" t="s">
        <v>232</v>
      </c>
      <c r="B16" s="38"/>
      <c r="C16" s="13">
        <v>6565212.0</v>
      </c>
      <c r="D16" s="13">
        <v>7208928.0</v>
      </c>
      <c r="E16" s="13">
        <v>8216937.0</v>
      </c>
      <c r="F16" s="13">
        <v>1.0372721E7</v>
      </c>
      <c r="G16" s="13">
        <v>1.1867926E7</v>
      </c>
      <c r="I16" s="42"/>
    </row>
    <row r="17">
      <c r="A17" s="40" t="s">
        <v>233</v>
      </c>
      <c r="B17" s="38"/>
      <c r="C17" s="15">
        <v>6565212.0</v>
      </c>
      <c r="D17" s="15">
        <v>7208928.0</v>
      </c>
      <c r="E17" s="15">
        <v>2696656.0</v>
      </c>
      <c r="F17" s="15">
        <v>4032386.0</v>
      </c>
      <c r="G17" s="15">
        <v>4647404.0</v>
      </c>
    </row>
    <row r="18">
      <c r="A18" s="40" t="s">
        <v>234</v>
      </c>
      <c r="B18" s="38"/>
      <c r="C18" s="15" t="s">
        <v>27</v>
      </c>
      <c r="D18" s="15" t="s">
        <v>27</v>
      </c>
      <c r="E18" s="15">
        <v>5520281.0</v>
      </c>
      <c r="F18" s="15">
        <v>6340335.0</v>
      </c>
      <c r="G18" s="15">
        <v>7220521.0</v>
      </c>
    </row>
    <row r="19">
      <c r="A19" s="41" t="s">
        <v>235</v>
      </c>
      <c r="B19" s="38"/>
      <c r="C19" s="17" t="s">
        <v>27</v>
      </c>
      <c r="D19" s="17" t="s">
        <v>27</v>
      </c>
      <c r="E19" s="17" t="s">
        <v>27</v>
      </c>
      <c r="F19" s="17" t="s">
        <v>27</v>
      </c>
      <c r="G19" s="17" t="s">
        <v>27</v>
      </c>
    </row>
    <row r="20">
      <c r="A20" s="41" t="s">
        <v>236</v>
      </c>
      <c r="B20" s="38"/>
      <c r="C20" s="17" t="s">
        <v>27</v>
      </c>
      <c r="D20" s="17" t="s">
        <v>27</v>
      </c>
      <c r="E20" s="17" t="s">
        <v>27</v>
      </c>
      <c r="F20" s="17" t="s">
        <v>27</v>
      </c>
      <c r="G20" s="17" t="s">
        <v>27</v>
      </c>
    </row>
    <row r="21" ht="15.75" customHeight="1">
      <c r="A21" s="37" t="s">
        <v>237</v>
      </c>
      <c r="B21" s="38"/>
      <c r="C21" s="13">
        <v>358988.0</v>
      </c>
      <c r="D21" s="13">
        <v>385338.0</v>
      </c>
      <c r="E21" s="13">
        <v>483996.0</v>
      </c>
      <c r="F21" s="13">
        <v>645726.0</v>
      </c>
      <c r="G21" s="13">
        <v>832649.0</v>
      </c>
    </row>
    <row r="22" ht="15.75" customHeight="1">
      <c r="A22" s="40" t="s">
        <v>238</v>
      </c>
      <c r="B22" s="38"/>
      <c r="C22" s="15">
        <v>358988.0</v>
      </c>
      <c r="D22" s="15">
        <v>385338.0</v>
      </c>
      <c r="E22" s="15">
        <v>483996.0</v>
      </c>
      <c r="F22" s="15">
        <v>645726.0</v>
      </c>
      <c r="G22" s="15">
        <v>832649.0</v>
      </c>
    </row>
    <row r="23" ht="15.75" customHeight="1">
      <c r="A23" s="37" t="s">
        <v>239</v>
      </c>
      <c r="B23" s="38"/>
      <c r="C23" s="13">
        <v>-869071.0</v>
      </c>
      <c r="D23" s="13">
        <v>-931614.0</v>
      </c>
      <c r="E23" s="13">
        <v>-1306057.0</v>
      </c>
      <c r="F23" s="13">
        <v>-1280308.0</v>
      </c>
      <c r="G23" s="13">
        <v>-1481365.0</v>
      </c>
    </row>
    <row r="24" ht="15.75" customHeight="1">
      <c r="A24" s="40" t="s">
        <v>240</v>
      </c>
      <c r="B24" s="38"/>
      <c r="C24" s="15">
        <v>-509022.0</v>
      </c>
      <c r="D24" s="15">
        <v>-716020.0</v>
      </c>
      <c r="E24" s="15">
        <v>-1005088.0</v>
      </c>
      <c r="F24" s="15">
        <v>-1349527.0</v>
      </c>
      <c r="G24" s="15">
        <v>-1648391.0</v>
      </c>
    </row>
    <row r="25" ht="15.75" customHeight="1">
      <c r="A25" s="40" t="s">
        <v>241</v>
      </c>
      <c r="B25" s="38"/>
      <c r="C25" s="15">
        <v>-360049.0</v>
      </c>
      <c r="D25" s="15">
        <v>-215594.0</v>
      </c>
      <c r="E25" s="15">
        <v>-300969.0</v>
      </c>
      <c r="F25" s="15">
        <v>69219.0</v>
      </c>
      <c r="G25" s="15">
        <v>167026.0</v>
      </c>
    </row>
    <row r="26" ht="15.75" customHeight="1">
      <c r="A26" s="41" t="s">
        <v>242</v>
      </c>
      <c r="B26" s="38"/>
      <c r="C26" s="17" t="s">
        <v>27</v>
      </c>
      <c r="D26" s="17" t="s">
        <v>27</v>
      </c>
      <c r="E26" s="17" t="s">
        <v>27</v>
      </c>
      <c r="F26" s="17" t="s">
        <v>27</v>
      </c>
      <c r="G26" s="17" t="s">
        <v>27</v>
      </c>
    </row>
    <row r="27" ht="15.75" customHeight="1">
      <c r="A27" s="41" t="s">
        <v>243</v>
      </c>
      <c r="B27" s="38"/>
      <c r="C27" s="17">
        <v>-510084.0</v>
      </c>
      <c r="D27" s="17">
        <v>-546276.0</v>
      </c>
      <c r="E27" s="17">
        <v>-822061.0</v>
      </c>
      <c r="F27" s="17">
        <v>-634583.0</v>
      </c>
      <c r="G27" s="17">
        <v>-648716.0</v>
      </c>
    </row>
    <row r="28" ht="15.75" customHeight="1">
      <c r="A28" s="41" t="s">
        <v>244</v>
      </c>
      <c r="B28" s="38"/>
      <c r="C28" s="17" t="s">
        <v>27</v>
      </c>
      <c r="D28" s="17" t="s">
        <v>27</v>
      </c>
      <c r="E28" s="17" t="s">
        <v>27</v>
      </c>
      <c r="F28" s="17" t="s">
        <v>27</v>
      </c>
      <c r="G28" s="17" t="s">
        <v>27</v>
      </c>
    </row>
    <row r="29" ht="15.75" customHeight="1">
      <c r="A29" s="37" t="s">
        <v>245</v>
      </c>
      <c r="B29" s="38"/>
      <c r="C29" s="13">
        <v>47048.0</v>
      </c>
      <c r="D29" s="13">
        <v>-39649.0</v>
      </c>
      <c r="E29" s="13">
        <v>8594.0</v>
      </c>
      <c r="F29" s="13">
        <v>-160150.0</v>
      </c>
      <c r="G29" s="13">
        <v>-11402.0</v>
      </c>
    </row>
    <row r="30" ht="15.75" customHeight="1">
      <c r="A30" s="40" t="s">
        <v>246</v>
      </c>
      <c r="B30" s="38"/>
      <c r="C30" s="15">
        <v>47048.0</v>
      </c>
      <c r="D30" s="15">
        <v>-39649.0</v>
      </c>
      <c r="E30" s="15">
        <v>8594.0</v>
      </c>
      <c r="F30" s="15">
        <v>-160150.0</v>
      </c>
      <c r="G30" s="15">
        <v>-11402.0</v>
      </c>
    </row>
    <row r="31" ht="15.75" customHeight="1">
      <c r="A31" s="41" t="s">
        <v>247</v>
      </c>
      <c r="B31" s="38"/>
      <c r="C31" s="17">
        <v>2.3107087E7</v>
      </c>
      <c r="D31" s="17">
        <v>2.4639746E7</v>
      </c>
      <c r="E31" s="17">
        <v>2.9428768E7</v>
      </c>
      <c r="F31" s="17">
        <v>3.6420238E7</v>
      </c>
      <c r="G31" s="17">
        <v>4.3506155E7</v>
      </c>
    </row>
    <row r="32" ht="15.75" customHeight="1">
      <c r="A32" s="41" t="s">
        <v>248</v>
      </c>
      <c r="B32" s="38"/>
      <c r="C32" s="17">
        <v>4609873.0</v>
      </c>
      <c r="D32" s="17">
        <v>5190654.0</v>
      </c>
      <c r="E32" s="17">
        <v>6228494.0</v>
      </c>
      <c r="F32" s="17">
        <v>7589290.0</v>
      </c>
      <c r="G32" s="17">
        <v>9111746.0</v>
      </c>
    </row>
    <row r="33" ht="15.75" customHeight="1">
      <c r="A33" s="41" t="s">
        <v>249</v>
      </c>
      <c r="B33" s="38"/>
      <c r="C33" s="17" t="s">
        <v>27</v>
      </c>
      <c r="D33" s="17" t="s">
        <v>27</v>
      </c>
      <c r="E33" s="17" t="s">
        <v>27</v>
      </c>
      <c r="F33" s="17" t="s">
        <v>27</v>
      </c>
      <c r="G33" s="17" t="s">
        <v>27</v>
      </c>
    </row>
    <row r="34" ht="15.75" customHeight="1">
      <c r="A34" s="41" t="s">
        <v>250</v>
      </c>
      <c r="B34" s="38"/>
      <c r="C34" s="17" t="s">
        <v>27</v>
      </c>
      <c r="D34" s="17" t="s">
        <v>27</v>
      </c>
      <c r="E34" s="17" t="s">
        <v>27</v>
      </c>
      <c r="F34" s="17" t="s">
        <v>27</v>
      </c>
      <c r="G34" s="17" t="s">
        <v>27</v>
      </c>
    </row>
    <row r="35" ht="15.75" customHeight="1">
      <c r="A35" s="41" t="s">
        <v>251</v>
      </c>
      <c r="B35" s="38"/>
      <c r="C35" s="17" t="s">
        <v>27</v>
      </c>
      <c r="D35" s="17" t="s">
        <v>27</v>
      </c>
      <c r="E35" s="17" t="s">
        <v>27</v>
      </c>
      <c r="F35" s="17" t="s">
        <v>27</v>
      </c>
      <c r="G35" s="17" t="s">
        <v>27</v>
      </c>
    </row>
    <row r="36" ht="15.75" customHeight="1">
      <c r="A36" s="41" t="s">
        <v>252</v>
      </c>
      <c r="B36" s="38"/>
      <c r="C36" s="17" t="s">
        <v>27</v>
      </c>
      <c r="D36" s="17" t="s">
        <v>27</v>
      </c>
      <c r="E36" s="17" t="s">
        <v>27</v>
      </c>
      <c r="F36" s="17" t="s">
        <v>27</v>
      </c>
      <c r="G36" s="17" t="s">
        <v>27</v>
      </c>
    </row>
    <row r="37" ht="15.75" customHeight="1">
      <c r="A37" s="41" t="s">
        <v>253</v>
      </c>
      <c r="B37" s="38"/>
      <c r="C37" s="17" t="s">
        <v>27</v>
      </c>
      <c r="D37" s="17" t="s">
        <v>27</v>
      </c>
      <c r="E37" s="17" t="s">
        <v>27</v>
      </c>
      <c r="F37" s="17" t="s">
        <v>27</v>
      </c>
      <c r="G37" s="17" t="s">
        <v>27</v>
      </c>
    </row>
    <row r="38" ht="15.75" customHeight="1">
      <c r="A38" s="37" t="s">
        <v>246</v>
      </c>
      <c r="B38" s="38"/>
      <c r="C38" s="13">
        <v>54657.0</v>
      </c>
      <c r="D38" s="13">
        <v>72802.0</v>
      </c>
      <c r="E38" s="13">
        <v>108712.0</v>
      </c>
      <c r="F38" s="13">
        <v>72993.0</v>
      </c>
      <c r="G38" s="13">
        <v>91261.0</v>
      </c>
    </row>
    <row r="39" ht="15.75" customHeight="1">
      <c r="A39" s="40" t="s">
        <v>254</v>
      </c>
      <c r="B39" s="38"/>
      <c r="C39" s="15">
        <v>54657.0</v>
      </c>
      <c r="D39" s="15">
        <v>72802.0</v>
      </c>
      <c r="E39" s="15">
        <v>108712.0</v>
      </c>
      <c r="F39" s="15">
        <v>72993.0</v>
      </c>
      <c r="G39" s="15">
        <v>91261.0</v>
      </c>
    </row>
    <row r="40" ht="15.75" customHeight="1">
      <c r="A40" s="41" t="s">
        <v>255</v>
      </c>
      <c r="B40" s="38"/>
      <c r="C40" s="17">
        <v>4664531.0</v>
      </c>
      <c r="D40" s="17">
        <v>5263457.0</v>
      </c>
      <c r="E40" s="17">
        <v>6337206.0</v>
      </c>
      <c r="F40" s="17">
        <v>7662283.0</v>
      </c>
      <c r="G40" s="17">
        <v>9203006.0</v>
      </c>
    </row>
    <row r="41" ht="15.75" customHeight="1">
      <c r="A41" s="41" t="s">
        <v>256</v>
      </c>
      <c r="B41" s="38"/>
      <c r="C41" s="17">
        <v>752818.0</v>
      </c>
      <c r="D41" s="17">
        <v>839711.0</v>
      </c>
      <c r="E41" s="17">
        <v>987905.0</v>
      </c>
      <c r="F41" s="17">
        <v>1170940.0</v>
      </c>
      <c r="G41" s="17">
        <v>1414956.0</v>
      </c>
    </row>
    <row r="42" ht="15.75" customHeight="1">
      <c r="A42" s="41" t="s">
        <v>257</v>
      </c>
      <c r="B42" s="38"/>
      <c r="C42" s="17">
        <v>3911712.0</v>
      </c>
      <c r="D42" s="17">
        <v>4423745.0</v>
      </c>
      <c r="E42" s="17">
        <v>5349301.0</v>
      </c>
      <c r="F42" s="17">
        <v>6491343.0</v>
      </c>
      <c r="G42" s="17">
        <v>7788050.0</v>
      </c>
    </row>
    <row r="43" ht="15.75" customHeight="1">
      <c r="A43" s="41" t="s">
        <v>74</v>
      </c>
      <c r="B43" s="38"/>
      <c r="C43" s="17">
        <v>-776362.0</v>
      </c>
      <c r="D43" s="17">
        <v>-885737.0</v>
      </c>
      <c r="E43" s="17">
        <v>-1011889.0</v>
      </c>
      <c r="F43" s="17">
        <v>-1181235.0</v>
      </c>
      <c r="G43" s="17">
        <v>-1322859.0</v>
      </c>
    </row>
    <row r="44" ht="15.75" customHeight="1">
      <c r="A44" s="41" t="s">
        <v>258</v>
      </c>
      <c r="B44" s="38"/>
      <c r="C44" s="17" t="s">
        <v>27</v>
      </c>
      <c r="D44" s="17" t="s">
        <v>27</v>
      </c>
      <c r="E44" s="17" t="s">
        <v>27</v>
      </c>
      <c r="F44" s="17" t="s">
        <v>27</v>
      </c>
      <c r="G44" s="17" t="s">
        <v>27</v>
      </c>
    </row>
    <row r="45" ht="15.75" customHeight="1">
      <c r="A45" s="41" t="s">
        <v>259</v>
      </c>
      <c r="B45" s="38"/>
      <c r="C45" s="17" t="s">
        <v>27</v>
      </c>
      <c r="D45" s="17" t="s">
        <v>27</v>
      </c>
      <c r="E45" s="17" t="s">
        <v>27</v>
      </c>
      <c r="F45" s="17" t="s">
        <v>27</v>
      </c>
      <c r="G45" s="17" t="s">
        <v>27</v>
      </c>
    </row>
    <row r="46" ht="15.75" customHeight="1">
      <c r="A46" s="41" t="s">
        <v>260</v>
      </c>
      <c r="B46" s="38"/>
      <c r="C46" s="17">
        <v>3135350.0</v>
      </c>
      <c r="D46" s="17">
        <v>3538008.0</v>
      </c>
      <c r="E46" s="17">
        <v>4337412.0</v>
      </c>
      <c r="F46" s="17">
        <v>5310109.0</v>
      </c>
      <c r="G46" s="17">
        <v>6465190.0</v>
      </c>
    </row>
    <row r="47" ht="15.75" customHeight="1">
      <c r="A47" s="43"/>
      <c r="B47" s="44"/>
      <c r="C47" s="22"/>
      <c r="D47" s="22"/>
      <c r="E47" s="22"/>
      <c r="F47" s="22"/>
      <c r="G47" s="22"/>
    </row>
    <row r="48" ht="15.75" customHeight="1">
      <c r="A48" s="41" t="s">
        <v>261</v>
      </c>
      <c r="B48" s="38"/>
      <c r="C48" s="17" t="s">
        <v>27</v>
      </c>
      <c r="D48" s="17" t="s">
        <v>27</v>
      </c>
      <c r="E48" s="17" t="s">
        <v>27</v>
      </c>
      <c r="F48" s="17" t="s">
        <v>27</v>
      </c>
      <c r="G48" s="17" t="s">
        <v>27</v>
      </c>
    </row>
    <row r="49" ht="15.75" customHeight="1">
      <c r="A49" s="41" t="s">
        <v>262</v>
      </c>
      <c r="B49" s="38"/>
      <c r="C49" s="17" t="s">
        <v>27</v>
      </c>
      <c r="D49" s="17" t="s">
        <v>27</v>
      </c>
      <c r="E49" s="17" t="s">
        <v>27</v>
      </c>
      <c r="F49" s="17" t="s">
        <v>27</v>
      </c>
      <c r="G49" s="17" t="s">
        <v>27</v>
      </c>
    </row>
    <row r="50" ht="15.75" customHeight="1">
      <c r="A50" s="41" t="s">
        <v>263</v>
      </c>
      <c r="B50" s="38"/>
      <c r="C50" s="17" t="s">
        <v>27</v>
      </c>
      <c r="D50" s="17" t="s">
        <v>27</v>
      </c>
      <c r="E50" s="17" t="s">
        <v>27</v>
      </c>
      <c r="F50" s="17" t="s">
        <v>27</v>
      </c>
      <c r="G50" s="17" t="s">
        <v>27</v>
      </c>
    </row>
    <row r="51" ht="15.75" customHeight="1">
      <c r="A51" s="41" t="s">
        <v>264</v>
      </c>
      <c r="B51" s="38"/>
      <c r="C51" s="17" t="s">
        <v>27</v>
      </c>
      <c r="D51" s="17" t="s">
        <v>27</v>
      </c>
      <c r="E51" s="17" t="s">
        <v>27</v>
      </c>
      <c r="F51" s="17" t="s">
        <v>27</v>
      </c>
      <c r="G51" s="17" t="s">
        <v>27</v>
      </c>
    </row>
    <row r="52" ht="15.75" customHeight="1">
      <c r="A52" s="41" t="s">
        <v>265</v>
      </c>
      <c r="B52" s="38"/>
      <c r="C52" s="17" t="s">
        <v>27</v>
      </c>
      <c r="D52" s="17" t="s">
        <v>27</v>
      </c>
      <c r="E52" s="17" t="s">
        <v>27</v>
      </c>
      <c r="F52" s="17" t="s">
        <v>27</v>
      </c>
      <c r="G52" s="17" t="s">
        <v>27</v>
      </c>
    </row>
    <row r="53" ht="15.75" customHeight="1">
      <c r="A53" s="41" t="s">
        <v>266</v>
      </c>
      <c r="B53" s="38"/>
      <c r="C53" s="17">
        <v>3135350.0</v>
      </c>
      <c r="D53" s="17">
        <v>3538008.0</v>
      </c>
      <c r="E53" s="17">
        <v>4337412.0</v>
      </c>
      <c r="F53" s="17">
        <v>5310109.0</v>
      </c>
      <c r="G53" s="17">
        <v>6465190.0</v>
      </c>
      <c r="H53" s="45">
        <f>'FCFE model'!B3</f>
        <v>9039066.151</v>
      </c>
      <c r="I53" s="45">
        <f>'FCFE model'!C3</f>
        <v>11111155.9</v>
      </c>
      <c r="J53" s="45">
        <f>'FCFE model'!D3</f>
        <v>13515098.51</v>
      </c>
      <c r="K53" s="45">
        <f>'FCFE model'!E3</f>
        <v>16381583.04</v>
      </c>
      <c r="L53" s="45">
        <f>'FCFE model'!F3</f>
        <v>19870043.05</v>
      </c>
      <c r="M53" s="45">
        <f>'FCFE model'!G3</f>
        <v>24117931.94</v>
      </c>
    </row>
    <row r="54" ht="15.75" customHeight="1">
      <c r="A54" s="43"/>
      <c r="B54" s="44"/>
      <c r="C54" s="22"/>
      <c r="D54" s="46">
        <f t="shared" ref="D54:G54" si="1">D53/C53-1</f>
        <v>0.1284252157</v>
      </c>
      <c r="E54" s="46">
        <f t="shared" si="1"/>
        <v>0.2259474823</v>
      </c>
      <c r="F54" s="46">
        <f t="shared" si="1"/>
        <v>0.2242574604</v>
      </c>
      <c r="G54" s="46">
        <f t="shared" si="1"/>
        <v>0.2175249133</v>
      </c>
      <c r="H54" s="47"/>
      <c r="I54" s="47"/>
      <c r="J54" s="47"/>
      <c r="K54" s="47"/>
      <c r="L54" s="47"/>
      <c r="M54" s="47"/>
      <c r="O54" s="47"/>
    </row>
    <row r="55" ht="15.75" customHeight="1">
      <c r="A55" s="41" t="s">
        <v>267</v>
      </c>
      <c r="B55" s="38"/>
      <c r="C55" s="17" t="s">
        <v>27</v>
      </c>
      <c r="D55" s="17" t="s">
        <v>27</v>
      </c>
      <c r="E55" s="17" t="s">
        <v>27</v>
      </c>
      <c r="F55" s="17" t="s">
        <v>27</v>
      </c>
      <c r="G55" s="17" t="s">
        <v>27</v>
      </c>
      <c r="H55" s="47"/>
      <c r="I55" s="47"/>
      <c r="J55" s="47"/>
      <c r="K55" s="47"/>
      <c r="L55" s="47"/>
      <c r="M55" s="47"/>
      <c r="O55" s="47"/>
    </row>
    <row r="56" ht="15.75" customHeight="1">
      <c r="A56" s="41" t="s">
        <v>268</v>
      </c>
      <c r="B56" s="38"/>
      <c r="C56" s="17" t="s">
        <v>27</v>
      </c>
      <c r="D56" s="17" t="s">
        <v>27</v>
      </c>
      <c r="E56" s="17" t="s">
        <v>27</v>
      </c>
      <c r="F56" s="17" t="s">
        <v>27</v>
      </c>
      <c r="G56" s="17" t="s">
        <v>27</v>
      </c>
    </row>
    <row r="57" ht="15.75" customHeight="1">
      <c r="A57" s="41" t="s">
        <v>269</v>
      </c>
      <c r="B57" s="38"/>
      <c r="C57" s="17">
        <v>-276494.0</v>
      </c>
      <c r="D57" s="17">
        <v>-311913.0</v>
      </c>
      <c r="E57" s="17">
        <v>-397215.0</v>
      </c>
      <c r="F57" s="17">
        <v>-461504.0</v>
      </c>
      <c r="G57" s="17">
        <v>-557312.0</v>
      </c>
    </row>
    <row r="58" ht="15.75" customHeight="1">
      <c r="A58" s="41" t="s">
        <v>270</v>
      </c>
      <c r="B58" s="38"/>
      <c r="C58" s="17" t="s">
        <v>27</v>
      </c>
      <c r="D58" s="17" t="s">
        <v>27</v>
      </c>
      <c r="E58" s="17" t="s">
        <v>27</v>
      </c>
      <c r="F58" s="17" t="s">
        <v>27</v>
      </c>
      <c r="G58" s="17" t="s">
        <v>27</v>
      </c>
    </row>
    <row r="59" ht="15.75" customHeight="1">
      <c r="A59" s="41" t="s">
        <v>271</v>
      </c>
      <c r="B59" s="38"/>
      <c r="C59" s="17" t="s">
        <v>27</v>
      </c>
      <c r="D59" s="17" t="s">
        <v>27</v>
      </c>
      <c r="E59" s="17" t="s">
        <v>27</v>
      </c>
      <c r="F59" s="17" t="s">
        <v>27</v>
      </c>
      <c r="G59" s="17" t="s">
        <v>27</v>
      </c>
    </row>
    <row r="60" ht="15.75" customHeight="1">
      <c r="A60" s="41" t="s">
        <v>272</v>
      </c>
      <c r="B60" s="38"/>
      <c r="C60" s="17">
        <v>-276494.0</v>
      </c>
      <c r="D60" s="17">
        <v>-311913.0</v>
      </c>
      <c r="E60" s="17">
        <v>-397215.0</v>
      </c>
      <c r="F60" s="17">
        <v>-461504.0</v>
      </c>
      <c r="G60" s="17">
        <v>-557312.0</v>
      </c>
    </row>
    <row r="61" ht="15.75" customHeight="1">
      <c r="A61" s="41" t="s">
        <v>273</v>
      </c>
      <c r="B61" s="38"/>
      <c r="C61" s="17">
        <v>2858857.0</v>
      </c>
      <c r="D61" s="17">
        <v>3226095.0</v>
      </c>
      <c r="E61" s="17">
        <v>3940197.0</v>
      </c>
      <c r="F61" s="17">
        <v>4848604.0</v>
      </c>
      <c r="G61" s="17">
        <v>5907878.0</v>
      </c>
    </row>
    <row r="62" ht="15.75" customHeight="1">
      <c r="A62" s="41" t="s">
        <v>274</v>
      </c>
      <c r="B62" s="38"/>
      <c r="C62" s="17">
        <v>2858857.0</v>
      </c>
      <c r="D62" s="17">
        <v>3226095.0</v>
      </c>
      <c r="E62" s="17">
        <v>3940197.0</v>
      </c>
      <c r="F62" s="17">
        <v>4848604.0</v>
      </c>
      <c r="G62" s="17">
        <v>5907878.0</v>
      </c>
    </row>
    <row r="63" ht="15.75" customHeight="1">
      <c r="A63" s="41" t="s">
        <v>275</v>
      </c>
      <c r="B63" s="38"/>
      <c r="C63" s="17">
        <v>1422.0</v>
      </c>
      <c r="D63" s="17">
        <v>1429.0</v>
      </c>
      <c r="E63" s="17">
        <v>1438.0</v>
      </c>
      <c r="F63" s="17">
        <v>1448.0</v>
      </c>
      <c r="G63" s="17">
        <v>1458.0</v>
      </c>
    </row>
    <row r="64" ht="15.75" customHeight="1">
      <c r="A64" s="41" t="s">
        <v>276</v>
      </c>
      <c r="B64" s="38"/>
      <c r="C64" s="31">
        <v>2010.66</v>
      </c>
      <c r="D64" s="31">
        <v>2257.39</v>
      </c>
      <c r="E64" s="31">
        <v>2740.11</v>
      </c>
      <c r="F64" s="31">
        <v>3349.2</v>
      </c>
      <c r="G64" s="31">
        <v>4053.34</v>
      </c>
    </row>
    <row r="65" ht="15.75" customHeight="1">
      <c r="A65" s="41" t="s">
        <v>277</v>
      </c>
      <c r="B65" s="38"/>
      <c r="C65" s="31">
        <v>2010.66</v>
      </c>
      <c r="D65" s="31">
        <v>2257.39</v>
      </c>
      <c r="E65" s="31">
        <v>2740.11</v>
      </c>
      <c r="F65" s="31">
        <v>3349.2</v>
      </c>
      <c r="G65" s="31">
        <v>4053.34</v>
      </c>
    </row>
    <row r="66" ht="15.75" customHeight="1">
      <c r="A66" s="41" t="s">
        <v>278</v>
      </c>
      <c r="B66" s="38"/>
      <c r="C66" s="17" t="s">
        <v>27</v>
      </c>
      <c r="D66" s="17" t="s">
        <v>27</v>
      </c>
      <c r="E66" s="17" t="s">
        <v>27</v>
      </c>
      <c r="F66" s="17" t="s">
        <v>27</v>
      </c>
      <c r="G66" s="17" t="s">
        <v>27</v>
      </c>
    </row>
    <row r="67" ht="15.75" customHeight="1">
      <c r="A67" s="41" t="s">
        <v>279</v>
      </c>
      <c r="B67" s="38"/>
      <c r="C67" s="17">
        <v>2858857.0</v>
      </c>
      <c r="D67" s="17">
        <v>3226095.0</v>
      </c>
      <c r="E67" s="17">
        <v>3940197.0</v>
      </c>
      <c r="F67" s="17">
        <v>4848604.0</v>
      </c>
      <c r="G67" s="17">
        <v>5907878.0</v>
      </c>
    </row>
    <row r="68" ht="15.75" customHeight="1">
      <c r="A68" s="41" t="s">
        <v>280</v>
      </c>
      <c r="B68" s="38"/>
      <c r="C68" s="17">
        <v>1422.0</v>
      </c>
      <c r="D68" s="17">
        <v>1429.0</v>
      </c>
      <c r="E68" s="17">
        <v>1438.0</v>
      </c>
      <c r="F68" s="17">
        <v>1448.0</v>
      </c>
      <c r="G68" s="17">
        <v>1458.0</v>
      </c>
    </row>
    <row r="69" ht="15.75" customHeight="1">
      <c r="A69" s="41" t="s">
        <v>281</v>
      </c>
      <c r="B69" s="38"/>
      <c r="C69" s="31">
        <v>2010.66</v>
      </c>
      <c r="D69" s="31">
        <v>2257.39</v>
      </c>
      <c r="E69" s="31">
        <v>2740.11</v>
      </c>
      <c r="F69" s="31">
        <v>3349.2</v>
      </c>
      <c r="G69" s="31">
        <v>4053.34</v>
      </c>
    </row>
    <row r="70" ht="15.75" customHeight="1">
      <c r="A70" s="48" t="s">
        <v>282</v>
      </c>
      <c r="B70" s="49"/>
      <c r="C70" s="31">
        <v>2010.66</v>
      </c>
      <c r="D70" s="31">
        <v>2257.39</v>
      </c>
      <c r="E70" s="31">
        <v>2740.11</v>
      </c>
      <c r="F70" s="31">
        <v>3349.2</v>
      </c>
      <c r="G70" s="31">
        <v>4053.34</v>
      </c>
    </row>
    <row r="71" ht="12.0" customHeight="1">
      <c r="A71" s="50" t="s">
        <v>94</v>
      </c>
      <c r="B71" s="51"/>
      <c r="C71" s="11"/>
      <c r="D71" s="11"/>
      <c r="E71" s="11"/>
      <c r="F71" s="11"/>
      <c r="G71" s="11"/>
    </row>
    <row r="72" ht="15.75" customHeight="1">
      <c r="A72" s="41" t="s">
        <v>283</v>
      </c>
      <c r="B72" s="38"/>
      <c r="C72" s="31">
        <v>905.29</v>
      </c>
      <c r="D72" s="31">
        <v>1041.08</v>
      </c>
      <c r="E72" s="31">
        <v>1197.24</v>
      </c>
      <c r="F72" s="31">
        <v>1436.68</v>
      </c>
      <c r="G72" s="31">
        <v>1652.18</v>
      </c>
    </row>
    <row r="73" ht="15.75" customHeight="1">
      <c r="A73" s="41" t="s">
        <v>284</v>
      </c>
      <c r="B73" s="38"/>
      <c r="C73" s="31" t="s">
        <v>27</v>
      </c>
      <c r="D73" s="31" t="s">
        <v>27</v>
      </c>
      <c r="E73" s="31" t="s">
        <v>27</v>
      </c>
      <c r="F73" s="31" t="s">
        <v>27</v>
      </c>
      <c r="G73" s="31" t="s">
        <v>27</v>
      </c>
    </row>
    <row r="74" ht="15.75" customHeight="1">
      <c r="A74" s="41" t="s">
        <v>285</v>
      </c>
      <c r="B74" s="38"/>
      <c r="C74" s="31" t="s">
        <v>27</v>
      </c>
      <c r="D74" s="31" t="s">
        <v>27</v>
      </c>
      <c r="E74" s="31" t="s">
        <v>27</v>
      </c>
      <c r="F74" s="31" t="s">
        <v>27</v>
      </c>
      <c r="G74" s="31" t="s">
        <v>27</v>
      </c>
    </row>
    <row r="75" ht="15.75" customHeight="1">
      <c r="A75" s="41" t="s">
        <v>286</v>
      </c>
      <c r="B75" s="38"/>
      <c r="C75" s="31" t="s">
        <v>27</v>
      </c>
      <c r="D75" s="31" t="s">
        <v>27</v>
      </c>
      <c r="E75" s="31" t="s">
        <v>27</v>
      </c>
      <c r="F75" s="31" t="s">
        <v>27</v>
      </c>
      <c r="G75" s="31" t="s">
        <v>27</v>
      </c>
    </row>
    <row r="76" ht="15.75" customHeight="1">
      <c r="A76" s="41" t="s">
        <v>287</v>
      </c>
      <c r="B76" s="38"/>
      <c r="C76" s="31" t="s">
        <v>27</v>
      </c>
      <c r="D76" s="31" t="s">
        <v>27</v>
      </c>
      <c r="E76" s="31" t="s">
        <v>27</v>
      </c>
      <c r="F76" s="31" t="s">
        <v>27</v>
      </c>
      <c r="G76" s="31" t="s">
        <v>27</v>
      </c>
    </row>
    <row r="77" ht="15.75" customHeight="1">
      <c r="A77" s="41" t="s">
        <v>288</v>
      </c>
      <c r="B77" s="38"/>
      <c r="C77" s="31" t="s">
        <v>27</v>
      </c>
      <c r="D77" s="31" t="s">
        <v>27</v>
      </c>
      <c r="E77" s="31" t="s">
        <v>27</v>
      </c>
      <c r="F77" s="31" t="s">
        <v>27</v>
      </c>
      <c r="G77" s="31" t="s">
        <v>27</v>
      </c>
    </row>
    <row r="78" ht="15.75" customHeight="1">
      <c r="A78" s="41" t="s">
        <v>289</v>
      </c>
      <c r="B78" s="38"/>
      <c r="C78" s="31" t="s">
        <v>27</v>
      </c>
      <c r="D78" s="31" t="s">
        <v>27</v>
      </c>
      <c r="E78" s="31" t="s">
        <v>27</v>
      </c>
      <c r="F78" s="31" t="s">
        <v>27</v>
      </c>
      <c r="G78" s="31" t="s">
        <v>27</v>
      </c>
    </row>
    <row r="79" ht="15.75" customHeight="1">
      <c r="A79" s="41" t="s">
        <v>290</v>
      </c>
      <c r="B79" s="38"/>
      <c r="C79" s="31" t="s">
        <v>27</v>
      </c>
      <c r="D79" s="31" t="s">
        <v>27</v>
      </c>
      <c r="E79" s="31" t="s">
        <v>27</v>
      </c>
      <c r="F79" s="31" t="s">
        <v>27</v>
      </c>
      <c r="G79" s="31" t="s">
        <v>27</v>
      </c>
    </row>
    <row r="80" ht="15.75" customHeight="1">
      <c r="A80" s="41" t="s">
        <v>291</v>
      </c>
      <c r="B80" s="38"/>
      <c r="C80" s="17">
        <v>1294898.0</v>
      </c>
      <c r="D80" s="17">
        <v>1465573.0</v>
      </c>
      <c r="E80" s="17">
        <v>907469.0</v>
      </c>
      <c r="F80" s="17">
        <v>2011222.0</v>
      </c>
      <c r="G80" s="17">
        <v>2374300.0</v>
      </c>
    </row>
    <row r="81" ht="15.75" customHeight="1">
      <c r="A81" s="41" t="s">
        <v>292</v>
      </c>
      <c r="B81" s="38"/>
      <c r="C81" s="17" t="s">
        <v>27</v>
      </c>
      <c r="D81" s="17" t="s">
        <v>27</v>
      </c>
      <c r="E81" s="17" t="s">
        <v>27</v>
      </c>
      <c r="F81" s="17" t="s">
        <v>27</v>
      </c>
      <c r="G81" s="17" t="s">
        <v>27</v>
      </c>
    </row>
    <row r="82" ht="15.75" customHeight="1">
      <c r="A82" s="41" t="s">
        <v>293</v>
      </c>
      <c r="B82" s="38"/>
      <c r="C82" s="17" t="s">
        <v>27</v>
      </c>
      <c r="D82" s="17" t="s">
        <v>27</v>
      </c>
      <c r="E82" s="17" t="s">
        <v>27</v>
      </c>
      <c r="F82" s="17" t="s">
        <v>27</v>
      </c>
      <c r="G82" s="17" t="s">
        <v>27</v>
      </c>
    </row>
    <row r="83" ht="15.75" customHeight="1">
      <c r="A83" s="41" t="s">
        <v>294</v>
      </c>
      <c r="B83" s="38"/>
      <c r="C83" s="31" t="s">
        <v>27</v>
      </c>
      <c r="D83" s="31" t="s">
        <v>27</v>
      </c>
      <c r="E83" s="31" t="s">
        <v>27</v>
      </c>
      <c r="F83" s="31" t="s">
        <v>27</v>
      </c>
      <c r="G83" s="31" t="s">
        <v>27</v>
      </c>
    </row>
    <row r="84" ht="15.75" customHeight="1">
      <c r="A84" s="41" t="s">
        <v>295</v>
      </c>
      <c r="B84" s="38"/>
      <c r="C84" s="31" t="s">
        <v>27</v>
      </c>
      <c r="D84" s="31" t="s">
        <v>27</v>
      </c>
      <c r="E84" s="31" t="s">
        <v>27</v>
      </c>
      <c r="F84" s="31" t="s">
        <v>27</v>
      </c>
      <c r="G84" s="31" t="s">
        <v>27</v>
      </c>
    </row>
    <row r="85" ht="15.75" customHeight="1">
      <c r="A85" s="41" t="s">
        <v>296</v>
      </c>
      <c r="B85" s="38"/>
      <c r="C85" s="17" t="s">
        <v>27</v>
      </c>
      <c r="D85" s="17" t="s">
        <v>27</v>
      </c>
      <c r="E85" s="17" t="s">
        <v>27</v>
      </c>
      <c r="F85" s="17" t="s">
        <v>27</v>
      </c>
      <c r="G85" s="17" t="s">
        <v>27</v>
      </c>
    </row>
    <row r="86" ht="15.75" customHeight="1">
      <c r="A86" s="41" t="s">
        <v>297</v>
      </c>
      <c r="B86" s="38"/>
      <c r="C86" s="17" t="s">
        <v>27</v>
      </c>
      <c r="D86" s="17" t="s">
        <v>27</v>
      </c>
      <c r="E86" s="17" t="s">
        <v>27</v>
      </c>
      <c r="F86" s="17" t="s">
        <v>27</v>
      </c>
      <c r="G86" s="17" t="s">
        <v>27</v>
      </c>
    </row>
    <row r="87" ht="15.75" customHeight="1">
      <c r="A87" s="41" t="s">
        <v>298</v>
      </c>
      <c r="B87" s="38"/>
      <c r="C87" s="17" t="s">
        <v>27</v>
      </c>
      <c r="D87" s="17" t="s">
        <v>27</v>
      </c>
      <c r="E87" s="17" t="s">
        <v>27</v>
      </c>
      <c r="F87" s="17" t="s">
        <v>27</v>
      </c>
      <c r="G87" s="17" t="s">
        <v>27</v>
      </c>
    </row>
    <row r="88" ht="15.75" customHeight="1">
      <c r="A88" s="41" t="s">
        <v>299</v>
      </c>
      <c r="B88" s="38"/>
      <c r="C88" s="17" t="s">
        <v>27</v>
      </c>
      <c r="D88" s="17" t="s">
        <v>27</v>
      </c>
      <c r="E88" s="17" t="s">
        <v>27</v>
      </c>
      <c r="F88" s="17" t="s">
        <v>27</v>
      </c>
      <c r="G88" s="17" t="s">
        <v>27</v>
      </c>
    </row>
    <row r="89" ht="15.75" customHeight="1">
      <c r="A89" s="41" t="s">
        <v>300</v>
      </c>
      <c r="B89" s="38"/>
      <c r="C89" s="17" t="s">
        <v>27</v>
      </c>
      <c r="D89" s="17" t="s">
        <v>27</v>
      </c>
      <c r="E89" s="17" t="s">
        <v>27</v>
      </c>
      <c r="F89" s="17" t="s">
        <v>27</v>
      </c>
      <c r="G89" s="17" t="s">
        <v>27</v>
      </c>
    </row>
    <row r="90" ht="15.75" customHeight="1">
      <c r="A90" s="41" t="s">
        <v>301</v>
      </c>
      <c r="B90" s="38"/>
      <c r="C90" s="17" t="s">
        <v>27</v>
      </c>
      <c r="D90" s="17" t="s">
        <v>27</v>
      </c>
      <c r="E90" s="17" t="s">
        <v>27</v>
      </c>
      <c r="F90" s="17" t="s">
        <v>27</v>
      </c>
      <c r="G90" s="17" t="s">
        <v>27</v>
      </c>
    </row>
    <row r="91" ht="15.75" customHeight="1">
      <c r="A91" s="41" t="s">
        <v>302</v>
      </c>
      <c r="B91" s="38"/>
      <c r="C91" s="17" t="s">
        <v>27</v>
      </c>
      <c r="D91" s="17" t="s">
        <v>27</v>
      </c>
      <c r="E91" s="17" t="s">
        <v>27</v>
      </c>
      <c r="F91" s="17" t="s">
        <v>27</v>
      </c>
      <c r="G91" s="17" t="s">
        <v>27</v>
      </c>
    </row>
    <row r="92" ht="15.75" customHeight="1">
      <c r="A92" s="41" t="s">
        <v>303</v>
      </c>
      <c r="B92" s="38"/>
      <c r="C92" s="17" t="s">
        <v>27</v>
      </c>
      <c r="D92" s="17" t="s">
        <v>27</v>
      </c>
      <c r="E92" s="17" t="s">
        <v>27</v>
      </c>
      <c r="F92" s="17" t="s">
        <v>27</v>
      </c>
      <c r="G92" s="17" t="s">
        <v>27</v>
      </c>
    </row>
    <row r="93" ht="15.75" customHeight="1">
      <c r="A93" s="41" t="s">
        <v>304</v>
      </c>
      <c r="B93" s="38"/>
      <c r="C93" s="17">
        <v>36900.0</v>
      </c>
      <c r="D93" s="17">
        <v>26599.0</v>
      </c>
      <c r="E93" s="17">
        <v>75300.0</v>
      </c>
      <c r="F93" s="17" t="s">
        <v>27</v>
      </c>
      <c r="G93" s="17" t="s">
        <v>27</v>
      </c>
    </row>
    <row r="94" ht="15.75" customHeight="1">
      <c r="A94" s="41" t="s">
        <v>305</v>
      </c>
      <c r="B94" s="38"/>
      <c r="C94" s="17">
        <v>4701431.0</v>
      </c>
      <c r="D94" s="17">
        <v>5290056.0</v>
      </c>
      <c r="E94" s="17">
        <v>6412506.0</v>
      </c>
      <c r="F94" s="17">
        <v>7662283.0</v>
      </c>
      <c r="G94" s="17">
        <v>9203006.0</v>
      </c>
    </row>
    <row r="95" ht="15.75" customHeight="1">
      <c r="A95" s="41" t="s">
        <v>306</v>
      </c>
      <c r="B95" s="38"/>
      <c r="C95" s="17">
        <v>0.0</v>
      </c>
      <c r="D95" s="17">
        <v>0.0</v>
      </c>
      <c r="E95" s="17">
        <v>0.0</v>
      </c>
      <c r="F95" s="17" t="s">
        <v>27</v>
      </c>
      <c r="G95" s="17" t="s">
        <v>27</v>
      </c>
    </row>
    <row r="96" ht="15.75" customHeight="1">
      <c r="A96" s="41" t="s">
        <v>307</v>
      </c>
      <c r="B96" s="38"/>
      <c r="C96" s="17">
        <v>752818.0</v>
      </c>
      <c r="D96" s="17">
        <v>839711.0</v>
      </c>
      <c r="E96" s="17">
        <v>987905.0</v>
      </c>
      <c r="F96" s="17">
        <v>1170940.0</v>
      </c>
      <c r="G96" s="17">
        <v>1414956.0</v>
      </c>
    </row>
    <row r="97" ht="15.75" customHeight="1">
      <c r="A97" s="41" t="s">
        <v>308</v>
      </c>
      <c r="B97" s="38"/>
      <c r="C97" s="17">
        <v>3948612.0</v>
      </c>
      <c r="D97" s="17">
        <v>4450345.0</v>
      </c>
      <c r="E97" s="17">
        <v>5424601.0</v>
      </c>
      <c r="F97" s="17">
        <v>6491343.0</v>
      </c>
      <c r="G97" s="17">
        <v>7788050.0</v>
      </c>
    </row>
    <row r="98" ht="15.75" customHeight="1">
      <c r="A98" s="41" t="s">
        <v>309</v>
      </c>
      <c r="B98" s="38"/>
      <c r="C98" s="17">
        <v>2895757.0</v>
      </c>
      <c r="D98" s="17">
        <v>3252694.0</v>
      </c>
      <c r="E98" s="17">
        <v>4015497.0</v>
      </c>
      <c r="F98" s="17">
        <v>4848604.0</v>
      </c>
      <c r="G98" s="17">
        <v>5907878.0</v>
      </c>
    </row>
    <row r="99" ht="15.75" customHeight="1">
      <c r="A99" s="41" t="s">
        <v>310</v>
      </c>
      <c r="B99" s="38"/>
      <c r="C99" s="31">
        <v>2036.61</v>
      </c>
      <c r="D99" s="31">
        <v>2276.0</v>
      </c>
      <c r="E99" s="31">
        <v>2792.48</v>
      </c>
      <c r="F99" s="31">
        <v>3349.2</v>
      </c>
      <c r="G99" s="31">
        <v>4053.34</v>
      </c>
    </row>
    <row r="100" ht="15.75" customHeight="1">
      <c r="A100" s="41" t="s">
        <v>311</v>
      </c>
      <c r="B100" s="38"/>
      <c r="C100" s="31">
        <v>2036.61</v>
      </c>
      <c r="D100" s="31">
        <v>2276.0</v>
      </c>
      <c r="E100" s="31">
        <v>2792.48</v>
      </c>
      <c r="F100" s="31">
        <v>3349.2</v>
      </c>
      <c r="G100" s="31">
        <v>4053.34</v>
      </c>
    </row>
    <row r="101" ht="15.75" customHeight="1">
      <c r="A101" s="41" t="s">
        <v>312</v>
      </c>
      <c r="B101" s="38"/>
      <c r="C101" s="31" t="s">
        <v>27</v>
      </c>
      <c r="D101" s="31" t="s">
        <v>27</v>
      </c>
      <c r="E101" s="31" t="s">
        <v>27</v>
      </c>
      <c r="F101" s="31" t="s">
        <v>27</v>
      </c>
      <c r="G101" s="31" t="s">
        <v>27</v>
      </c>
    </row>
    <row r="102" ht="15.75" customHeight="1">
      <c r="A102" s="41" t="s">
        <v>313</v>
      </c>
      <c r="B102" s="38"/>
      <c r="C102" s="17" t="s">
        <v>27</v>
      </c>
      <c r="D102" s="17" t="s">
        <v>27</v>
      </c>
      <c r="E102" s="17" t="s">
        <v>27</v>
      </c>
      <c r="F102" s="17" t="s">
        <v>27</v>
      </c>
      <c r="G102" s="17" t="s">
        <v>27</v>
      </c>
    </row>
    <row r="103" ht="15.75" customHeight="1">
      <c r="A103" s="41" t="s">
        <v>314</v>
      </c>
      <c r="B103" s="38"/>
      <c r="C103" s="17">
        <v>36900.0</v>
      </c>
      <c r="D103" s="17">
        <v>26599.0</v>
      </c>
      <c r="E103" s="17">
        <v>75300.0</v>
      </c>
      <c r="F103" s="17" t="s">
        <v>27</v>
      </c>
      <c r="G103" s="17" t="s">
        <v>27</v>
      </c>
    </row>
    <row r="104" ht="15.75" customHeight="1">
      <c r="A104" s="41" t="s">
        <v>315</v>
      </c>
      <c r="B104" s="38"/>
      <c r="C104" s="17">
        <v>190742.0</v>
      </c>
      <c r="D104" s="17">
        <v>185653.0</v>
      </c>
      <c r="E104" s="17">
        <v>172565.0</v>
      </c>
      <c r="F104" s="17">
        <v>194915.0</v>
      </c>
      <c r="G104" s="17">
        <v>242121.0</v>
      </c>
    </row>
    <row r="105" ht="15.75" customHeight="1">
      <c r="A105" s="41" t="s">
        <v>316</v>
      </c>
      <c r="B105" s="38"/>
      <c r="C105" s="17" t="s">
        <v>27</v>
      </c>
      <c r="D105" s="17" t="s">
        <v>27</v>
      </c>
      <c r="E105" s="17" t="s">
        <v>27</v>
      </c>
      <c r="F105" s="17" t="s">
        <v>27</v>
      </c>
      <c r="G105" s="17" t="s">
        <v>27</v>
      </c>
    </row>
    <row r="106" ht="15.75" customHeight="1">
      <c r="A106" s="41" t="s">
        <v>317</v>
      </c>
      <c r="B106" s="38"/>
      <c r="C106" s="17">
        <v>1142293.0</v>
      </c>
      <c r="D106" s="17">
        <v>1272037.0</v>
      </c>
      <c r="E106" s="17">
        <v>1397986.0</v>
      </c>
      <c r="F106" s="17">
        <v>1593889.0</v>
      </c>
      <c r="G106" s="17">
        <v>1872584.0</v>
      </c>
    </row>
    <row r="107" ht="15.75" customHeight="1">
      <c r="A107" s="41" t="s">
        <v>318</v>
      </c>
      <c r="B107" s="38"/>
      <c r="C107" s="17" t="s">
        <v>27</v>
      </c>
      <c r="D107" s="17" t="s">
        <v>27</v>
      </c>
      <c r="E107" s="17" t="s">
        <v>27</v>
      </c>
      <c r="F107" s="17" t="s">
        <v>27</v>
      </c>
      <c r="G107" s="17" t="s">
        <v>27</v>
      </c>
    </row>
    <row r="108" ht="15.75" customHeight="1">
      <c r="A108" s="41" t="s">
        <v>319</v>
      </c>
      <c r="B108" s="38"/>
      <c r="C108" s="17">
        <v>358988.0</v>
      </c>
      <c r="D108" s="17">
        <v>385338.0</v>
      </c>
      <c r="E108" s="17">
        <v>483996.0</v>
      </c>
      <c r="F108" s="17">
        <v>645726.0</v>
      </c>
      <c r="G108" s="17">
        <v>832649.0</v>
      </c>
    </row>
    <row r="109" ht="15.75" customHeight="1">
      <c r="A109" s="41" t="s">
        <v>320</v>
      </c>
      <c r="B109" s="38"/>
      <c r="C109" s="17" t="s">
        <v>27</v>
      </c>
      <c r="D109" s="17" t="s">
        <v>27</v>
      </c>
      <c r="E109" s="17" t="s">
        <v>27</v>
      </c>
      <c r="F109" s="17" t="s">
        <v>27</v>
      </c>
      <c r="G109" s="17" t="s">
        <v>27</v>
      </c>
    </row>
    <row r="110" ht="15.75" customHeight="1">
      <c r="A110" s="41" t="s">
        <v>321</v>
      </c>
      <c r="B110" s="38"/>
      <c r="C110" s="17" t="s">
        <v>27</v>
      </c>
      <c r="D110" s="17" t="s">
        <v>27</v>
      </c>
      <c r="E110" s="17" t="s">
        <v>27</v>
      </c>
      <c r="F110" s="17" t="s">
        <v>27</v>
      </c>
      <c r="G110" s="17" t="s">
        <v>27</v>
      </c>
    </row>
    <row r="111" ht="15.75" customHeight="1">
      <c r="A111" s="41" t="s">
        <v>322</v>
      </c>
      <c r="B111" s="38"/>
      <c r="C111" s="17" t="s">
        <v>27</v>
      </c>
      <c r="D111" s="17" t="s">
        <v>27</v>
      </c>
      <c r="E111" s="17" t="s">
        <v>27</v>
      </c>
      <c r="F111" s="17" t="s">
        <v>27</v>
      </c>
      <c r="G111" s="17" t="s">
        <v>27</v>
      </c>
    </row>
    <row r="112" ht="15.75" customHeight="1">
      <c r="A112" s="41" t="s">
        <v>323</v>
      </c>
      <c r="B112" s="38"/>
      <c r="C112" s="17" t="s">
        <v>27</v>
      </c>
      <c r="D112" s="17" t="s">
        <v>27</v>
      </c>
      <c r="E112" s="17" t="s">
        <v>27</v>
      </c>
      <c r="F112" s="17" t="s">
        <v>27</v>
      </c>
      <c r="G112" s="17" t="s">
        <v>27</v>
      </c>
    </row>
    <row r="113" ht="15.75" customHeight="1">
      <c r="A113" s="41" t="s">
        <v>324</v>
      </c>
      <c r="B113" s="38"/>
      <c r="C113" s="17" t="s">
        <v>27</v>
      </c>
      <c r="D113" s="17" t="s">
        <v>27</v>
      </c>
      <c r="E113" s="17" t="s">
        <v>27</v>
      </c>
      <c r="F113" s="17" t="s">
        <v>27</v>
      </c>
      <c r="G113" s="17" t="s">
        <v>27</v>
      </c>
    </row>
    <row r="114" ht="15.75" customHeight="1">
      <c r="A114" s="41" t="s">
        <v>325</v>
      </c>
      <c r="B114" s="38"/>
      <c r="C114" s="17" t="s">
        <v>27</v>
      </c>
      <c r="D114" s="17" t="s">
        <v>27</v>
      </c>
      <c r="E114" s="17">
        <v>5520281.0</v>
      </c>
      <c r="F114" s="17">
        <v>6340335.0</v>
      </c>
      <c r="G114" s="17">
        <v>7220521.0</v>
      </c>
    </row>
    <row r="115" ht="15.75" customHeight="1">
      <c r="A115" s="41" t="s">
        <v>326</v>
      </c>
      <c r="B115" s="38"/>
      <c r="C115" s="17" t="s">
        <v>27</v>
      </c>
      <c r="D115" s="17" t="s">
        <v>27</v>
      </c>
      <c r="E115" s="17" t="s">
        <v>27</v>
      </c>
      <c r="F115" s="17" t="s">
        <v>27</v>
      </c>
      <c r="G115" s="17" t="s">
        <v>27</v>
      </c>
    </row>
    <row r="116" ht="15.75" customHeight="1">
      <c r="A116" s="41" t="s">
        <v>327</v>
      </c>
      <c r="B116" s="38"/>
      <c r="C116" s="17" t="s">
        <v>27</v>
      </c>
      <c r="D116" s="17" t="s">
        <v>27</v>
      </c>
      <c r="E116" s="17" t="s">
        <v>27</v>
      </c>
      <c r="F116" s="17" t="s">
        <v>27</v>
      </c>
      <c r="G116" s="17" t="s">
        <v>27</v>
      </c>
    </row>
    <row r="117" ht="15.75" customHeight="1">
      <c r="A117" s="41" t="s">
        <v>328</v>
      </c>
      <c r="B117" s="38"/>
      <c r="C117" s="17" t="s">
        <v>27</v>
      </c>
      <c r="D117" s="17" t="s">
        <v>27</v>
      </c>
      <c r="E117" s="17" t="s">
        <v>27</v>
      </c>
      <c r="F117" s="17" t="s">
        <v>27</v>
      </c>
      <c r="G117" s="17" t="s">
        <v>27</v>
      </c>
    </row>
    <row r="118" ht="15.75" customHeight="1">
      <c r="A118" s="41" t="s">
        <v>329</v>
      </c>
      <c r="B118" s="38"/>
      <c r="C118" s="17" t="s">
        <v>27</v>
      </c>
      <c r="D118" s="17" t="s">
        <v>27</v>
      </c>
      <c r="E118" s="17" t="s">
        <v>27</v>
      </c>
      <c r="F118" s="17" t="s">
        <v>27</v>
      </c>
      <c r="G118" s="17" t="s">
        <v>27</v>
      </c>
    </row>
    <row r="119" ht="15.75" customHeight="1">
      <c r="A119" s="41" t="s">
        <v>330</v>
      </c>
      <c r="B119" s="38"/>
      <c r="C119" s="17" t="s">
        <v>27</v>
      </c>
      <c r="D119" s="17" t="s">
        <v>27</v>
      </c>
      <c r="E119" s="17" t="s">
        <v>27</v>
      </c>
      <c r="F119" s="17" t="s">
        <v>27</v>
      </c>
      <c r="G119" s="17" t="s">
        <v>27</v>
      </c>
    </row>
    <row r="120" ht="15.75" customHeight="1">
      <c r="A120" s="41" t="s">
        <v>331</v>
      </c>
      <c r="B120" s="38"/>
      <c r="C120" s="17" t="s">
        <v>27</v>
      </c>
      <c r="D120" s="17" t="s">
        <v>27</v>
      </c>
      <c r="E120" s="17" t="s">
        <v>27</v>
      </c>
      <c r="F120" s="17" t="s">
        <v>27</v>
      </c>
      <c r="G120" s="17" t="s">
        <v>27</v>
      </c>
    </row>
    <row r="121" ht="15.75" customHeight="1">
      <c r="A121" s="41" t="s">
        <v>332</v>
      </c>
      <c r="B121" s="38"/>
      <c r="C121" s="17" t="s">
        <v>27</v>
      </c>
      <c r="D121" s="17" t="s">
        <v>27</v>
      </c>
      <c r="E121" s="17" t="s">
        <v>27</v>
      </c>
      <c r="F121" s="17" t="s">
        <v>27</v>
      </c>
      <c r="G121" s="17" t="s">
        <v>27</v>
      </c>
    </row>
    <row r="122" ht="15.75" customHeight="1">
      <c r="A122" s="41" t="s">
        <v>333</v>
      </c>
      <c r="B122" s="38"/>
      <c r="C122" s="17" t="s">
        <v>27</v>
      </c>
      <c r="D122" s="17" t="s">
        <v>27</v>
      </c>
      <c r="E122" s="17" t="s">
        <v>27</v>
      </c>
      <c r="F122" s="17" t="s">
        <v>27</v>
      </c>
      <c r="G122" s="17" t="s">
        <v>27</v>
      </c>
    </row>
    <row r="123" ht="15.75" customHeight="1">
      <c r="A123" s="41" t="s">
        <v>334</v>
      </c>
      <c r="B123" s="38"/>
      <c r="C123" s="17">
        <v>404927.0</v>
      </c>
      <c r="D123" s="17">
        <v>312194.0</v>
      </c>
      <c r="E123" s="17">
        <v>686865.0</v>
      </c>
      <c r="F123" s="17">
        <v>483598.0</v>
      </c>
      <c r="G123" s="17">
        <v>42347.0</v>
      </c>
    </row>
    <row r="124" ht="15.75" customHeight="1">
      <c r="A124" s="41" t="s">
        <v>335</v>
      </c>
      <c r="B124" s="38"/>
      <c r="C124" s="17">
        <v>-776362.0</v>
      </c>
      <c r="D124" s="17">
        <v>-885737.0</v>
      </c>
      <c r="E124" s="17">
        <v>-1011889.0</v>
      </c>
      <c r="F124" s="17">
        <v>-1181235.0</v>
      </c>
      <c r="G124" s="17">
        <v>-1322859.0</v>
      </c>
    </row>
    <row r="125" ht="15.75" customHeight="1">
      <c r="A125" s="41" t="s">
        <v>336</v>
      </c>
      <c r="B125" s="38"/>
      <c r="C125" s="17" t="s">
        <v>27</v>
      </c>
      <c r="D125" s="17" t="s">
        <v>27</v>
      </c>
      <c r="E125" s="17" t="s">
        <v>27</v>
      </c>
      <c r="F125" s="17" t="s">
        <v>27</v>
      </c>
      <c r="G125" s="17" t="s">
        <v>27</v>
      </c>
    </row>
    <row r="126" ht="15.75" customHeight="1">
      <c r="A126" s="41" t="s">
        <v>337</v>
      </c>
      <c r="B126" s="38"/>
      <c r="C126" s="17" t="s">
        <v>27</v>
      </c>
      <c r="D126" s="17" t="s">
        <v>27</v>
      </c>
      <c r="E126" s="17" t="s">
        <v>27</v>
      </c>
      <c r="F126" s="17" t="s">
        <v>27</v>
      </c>
      <c r="G126" s="17" t="s">
        <v>27</v>
      </c>
    </row>
    <row r="127" ht="15.75" customHeight="1">
      <c r="A127" s="41" t="s">
        <v>338</v>
      </c>
      <c r="B127" s="38"/>
      <c r="C127" s="17" t="s">
        <v>27</v>
      </c>
      <c r="D127" s="17" t="s">
        <v>27</v>
      </c>
      <c r="E127" s="17" t="s">
        <v>27</v>
      </c>
      <c r="F127" s="17" t="s">
        <v>27</v>
      </c>
      <c r="G127" s="17" t="s">
        <v>27</v>
      </c>
    </row>
    <row r="128" ht="15.75" customHeight="1">
      <c r="A128" s="41" t="s">
        <v>339</v>
      </c>
      <c r="B128" s="38"/>
      <c r="C128" s="17" t="s">
        <v>27</v>
      </c>
      <c r="D128" s="17" t="s">
        <v>27</v>
      </c>
      <c r="E128" s="17" t="s">
        <v>27</v>
      </c>
      <c r="F128" s="17" t="s">
        <v>27</v>
      </c>
      <c r="G128" s="17" t="s">
        <v>27</v>
      </c>
    </row>
    <row r="129" ht="15.75" customHeight="1">
      <c r="A129" s="41" t="s">
        <v>340</v>
      </c>
      <c r="B129" s="38"/>
      <c r="C129" s="17" t="s">
        <v>27</v>
      </c>
      <c r="D129" s="17" t="s">
        <v>27</v>
      </c>
      <c r="E129" s="17" t="s">
        <v>27</v>
      </c>
      <c r="F129" s="17" t="s">
        <v>27</v>
      </c>
      <c r="G129" s="17" t="s">
        <v>27</v>
      </c>
    </row>
    <row r="130" ht="15.75" customHeight="1">
      <c r="A130" s="41" t="s">
        <v>341</v>
      </c>
      <c r="B130" s="38"/>
      <c r="C130" s="17" t="s">
        <v>27</v>
      </c>
      <c r="D130" s="17" t="s">
        <v>27</v>
      </c>
      <c r="E130" s="17" t="s">
        <v>27</v>
      </c>
      <c r="F130" s="17" t="s">
        <v>27</v>
      </c>
      <c r="G130" s="17" t="s">
        <v>27</v>
      </c>
    </row>
    <row r="131" ht="15.75" customHeight="1">
      <c r="A131" s="41" t="s">
        <v>342</v>
      </c>
      <c r="B131" s="38"/>
      <c r="C131" s="17" t="s">
        <v>27</v>
      </c>
      <c r="D131" s="17" t="s">
        <v>27</v>
      </c>
      <c r="E131" s="17" t="s">
        <v>27</v>
      </c>
      <c r="F131" s="17" t="s">
        <v>27</v>
      </c>
      <c r="G131" s="17" t="s">
        <v>27</v>
      </c>
    </row>
    <row r="132" ht="15.75" customHeight="1">
      <c r="A132" s="41" t="s">
        <v>343</v>
      </c>
      <c r="B132" s="38"/>
      <c r="C132" s="17" t="s">
        <v>27</v>
      </c>
      <c r="D132" s="17" t="s">
        <v>27</v>
      </c>
      <c r="E132" s="17" t="s">
        <v>27</v>
      </c>
      <c r="F132" s="17" t="s">
        <v>27</v>
      </c>
      <c r="G132" s="17" t="s">
        <v>27</v>
      </c>
    </row>
    <row r="133" ht="15.75" customHeight="1">
      <c r="A133" s="41" t="s">
        <v>344</v>
      </c>
      <c r="B133" s="38"/>
      <c r="C133" s="17" t="s">
        <v>27</v>
      </c>
      <c r="D133" s="17" t="s">
        <v>27</v>
      </c>
      <c r="E133" s="17" t="s">
        <v>27</v>
      </c>
      <c r="F133" s="17" t="s">
        <v>27</v>
      </c>
      <c r="G133" s="17" t="s">
        <v>27</v>
      </c>
    </row>
    <row r="134" ht="15.75" customHeight="1">
      <c r="A134" s="41" t="s">
        <v>345</v>
      </c>
      <c r="B134" s="38"/>
      <c r="C134" s="17" t="s">
        <v>27</v>
      </c>
      <c r="D134" s="17" t="s">
        <v>27</v>
      </c>
      <c r="E134" s="17" t="s">
        <v>27</v>
      </c>
      <c r="F134" s="17" t="s">
        <v>27</v>
      </c>
      <c r="G134" s="17" t="s">
        <v>27</v>
      </c>
    </row>
    <row r="135" ht="15.75" customHeight="1">
      <c r="A135" s="41" t="s">
        <v>346</v>
      </c>
      <c r="B135" s="38"/>
      <c r="C135" s="17" t="s">
        <v>27</v>
      </c>
      <c r="D135" s="17" t="s">
        <v>27</v>
      </c>
      <c r="E135" s="17" t="s">
        <v>27</v>
      </c>
      <c r="F135" s="17" t="s">
        <v>27</v>
      </c>
      <c r="G135" s="17" t="s">
        <v>27</v>
      </c>
    </row>
    <row r="136" ht="15.75" customHeight="1">
      <c r="A136" s="41" t="s">
        <v>347</v>
      </c>
      <c r="B136" s="38"/>
      <c r="C136" s="17" t="s">
        <v>27</v>
      </c>
      <c r="D136" s="17" t="s">
        <v>27</v>
      </c>
      <c r="E136" s="17" t="s">
        <v>27</v>
      </c>
      <c r="F136" s="17" t="s">
        <v>27</v>
      </c>
      <c r="G136" s="17" t="s">
        <v>27</v>
      </c>
    </row>
    <row r="137" ht="15.75" customHeight="1">
      <c r="A137" s="41" t="s">
        <v>348</v>
      </c>
      <c r="B137" s="38"/>
      <c r="C137" s="17" t="s">
        <v>27</v>
      </c>
      <c r="D137" s="17" t="s">
        <v>27</v>
      </c>
      <c r="E137" s="17" t="s">
        <v>27</v>
      </c>
      <c r="F137" s="17" t="s">
        <v>27</v>
      </c>
      <c r="G137" s="17" t="s">
        <v>27</v>
      </c>
    </row>
    <row r="138" ht="15.75" customHeight="1">
      <c r="A138" s="41" t="s">
        <v>349</v>
      </c>
      <c r="B138" s="38"/>
      <c r="C138" s="17" t="s">
        <v>27</v>
      </c>
      <c r="D138" s="17" t="s">
        <v>27</v>
      </c>
      <c r="E138" s="17" t="s">
        <v>27</v>
      </c>
      <c r="F138" s="17" t="s">
        <v>27</v>
      </c>
      <c r="G138" s="17" t="s">
        <v>27</v>
      </c>
    </row>
    <row r="139" ht="15.75" customHeight="1">
      <c r="A139" s="41" t="s">
        <v>350</v>
      </c>
      <c r="B139" s="38"/>
      <c r="C139" s="30" t="s">
        <v>27</v>
      </c>
      <c r="D139" s="30" t="s">
        <v>27</v>
      </c>
      <c r="E139" s="30" t="s">
        <v>27</v>
      </c>
      <c r="F139" s="30" t="s">
        <v>27</v>
      </c>
      <c r="G139" s="30" t="s">
        <v>27</v>
      </c>
    </row>
    <row r="140" ht="15.75" customHeight="1">
      <c r="A140" s="41" t="s">
        <v>351</v>
      </c>
      <c r="B140" s="38"/>
      <c r="C140" s="17" t="s">
        <v>27</v>
      </c>
      <c r="D140" s="17" t="s">
        <v>27</v>
      </c>
      <c r="E140" s="17" t="s">
        <v>27</v>
      </c>
      <c r="F140" s="17" t="s">
        <v>27</v>
      </c>
      <c r="G140" s="17" t="s">
        <v>27</v>
      </c>
    </row>
    <row r="141" ht="15.75" customHeight="1">
      <c r="A141" s="41" t="s">
        <v>352</v>
      </c>
      <c r="B141" s="38"/>
      <c r="C141" s="17" t="s">
        <v>27</v>
      </c>
      <c r="D141" s="17" t="s">
        <v>27</v>
      </c>
      <c r="E141" s="17" t="s">
        <v>27</v>
      </c>
      <c r="F141" s="17" t="s">
        <v>27</v>
      </c>
      <c r="G141" s="17" t="s">
        <v>27</v>
      </c>
    </row>
    <row r="142" ht="15.75" customHeight="1">
      <c r="A142" s="41" t="s">
        <v>353</v>
      </c>
      <c r="B142" s="38"/>
      <c r="C142" s="31" t="s">
        <v>27</v>
      </c>
      <c r="D142" s="31" t="s">
        <v>27</v>
      </c>
      <c r="E142" s="31" t="s">
        <v>27</v>
      </c>
      <c r="F142" s="31" t="s">
        <v>27</v>
      </c>
      <c r="G142" s="31" t="s">
        <v>27</v>
      </c>
    </row>
    <row r="143" ht="15.75" customHeight="1">
      <c r="A143" s="41" t="s">
        <v>354</v>
      </c>
      <c r="B143" s="38"/>
      <c r="C143" s="31" t="s">
        <v>27</v>
      </c>
      <c r="D143" s="31" t="s">
        <v>27</v>
      </c>
      <c r="E143" s="31" t="s">
        <v>27</v>
      </c>
      <c r="F143" s="31" t="s">
        <v>27</v>
      </c>
      <c r="G143" s="31" t="s">
        <v>27</v>
      </c>
    </row>
    <row r="144" ht="15.75" customHeight="1">
      <c r="A144" s="41" t="s">
        <v>355</v>
      </c>
      <c r="B144" s="38"/>
      <c r="C144" s="17" t="s">
        <v>27</v>
      </c>
      <c r="D144" s="17" t="s">
        <v>27</v>
      </c>
      <c r="E144" s="17" t="s">
        <v>27</v>
      </c>
      <c r="F144" s="17" t="s">
        <v>27</v>
      </c>
      <c r="G144" s="17" t="s">
        <v>27</v>
      </c>
    </row>
    <row r="145" ht="15.75" customHeight="1">
      <c r="A145" s="41" t="s">
        <v>356</v>
      </c>
      <c r="B145" s="38"/>
      <c r="C145" s="17" t="s">
        <v>27</v>
      </c>
      <c r="D145" s="17" t="s">
        <v>27</v>
      </c>
      <c r="E145" s="17" t="s">
        <v>27</v>
      </c>
      <c r="F145" s="17" t="s">
        <v>27</v>
      </c>
      <c r="G145" s="17" t="s">
        <v>27</v>
      </c>
    </row>
    <row r="146" ht="15.75" customHeight="1">
      <c r="A146" s="41" t="s">
        <v>357</v>
      </c>
      <c r="B146" s="38"/>
      <c r="C146" s="17" t="s">
        <v>27</v>
      </c>
      <c r="D146" s="17" t="s">
        <v>27</v>
      </c>
      <c r="E146" s="17" t="s">
        <v>27</v>
      </c>
      <c r="F146" s="17" t="s">
        <v>27</v>
      </c>
      <c r="G146" s="17" t="s">
        <v>27</v>
      </c>
    </row>
    <row r="147" ht="15.75" customHeight="1">
      <c r="A147" s="41" t="s">
        <v>358</v>
      </c>
      <c r="B147" s="38"/>
      <c r="C147" s="17" t="s">
        <v>27</v>
      </c>
      <c r="D147" s="17" t="s">
        <v>27</v>
      </c>
      <c r="E147" s="17" t="s">
        <v>27</v>
      </c>
      <c r="F147" s="17" t="s">
        <v>27</v>
      </c>
      <c r="G147" s="17" t="s">
        <v>27</v>
      </c>
    </row>
    <row r="148" ht="15.75" customHeight="1">
      <c r="A148" s="41" t="s">
        <v>359</v>
      </c>
      <c r="B148" s="38"/>
      <c r="C148" s="17" t="s">
        <v>27</v>
      </c>
      <c r="D148" s="17" t="s">
        <v>27</v>
      </c>
      <c r="E148" s="17" t="s">
        <v>27</v>
      </c>
      <c r="F148" s="17" t="s">
        <v>27</v>
      </c>
      <c r="G148" s="17" t="s">
        <v>27</v>
      </c>
    </row>
    <row r="149" ht="15.75" customHeight="1">
      <c r="A149" s="41" t="s">
        <v>360</v>
      </c>
      <c r="B149" s="38"/>
      <c r="C149" s="17" t="s">
        <v>27</v>
      </c>
      <c r="D149" s="17" t="s">
        <v>27</v>
      </c>
      <c r="E149" s="17" t="s">
        <v>27</v>
      </c>
      <c r="F149" s="17" t="s">
        <v>27</v>
      </c>
      <c r="G149" s="17" t="s">
        <v>27</v>
      </c>
    </row>
    <row r="150" ht="15.75" customHeight="1">
      <c r="A150" s="41" t="s">
        <v>361</v>
      </c>
      <c r="B150" s="38"/>
      <c r="C150" s="17" t="s">
        <v>27</v>
      </c>
      <c r="D150" s="17" t="s">
        <v>27</v>
      </c>
      <c r="E150" s="17" t="s">
        <v>27</v>
      </c>
      <c r="F150" s="17" t="s">
        <v>27</v>
      </c>
      <c r="G150" s="17" t="s">
        <v>27</v>
      </c>
    </row>
    <row r="151" ht="15.75" customHeight="1">
      <c r="A151" s="41" t="s">
        <v>362</v>
      </c>
      <c r="B151" s="38"/>
      <c r="C151" s="17" t="s">
        <v>27</v>
      </c>
      <c r="D151" s="17" t="s">
        <v>27</v>
      </c>
      <c r="E151" s="17" t="s">
        <v>27</v>
      </c>
      <c r="F151" s="17" t="s">
        <v>27</v>
      </c>
      <c r="G151" s="17" t="s">
        <v>27</v>
      </c>
    </row>
    <row r="152" ht="15.75" customHeight="1">
      <c r="A152" s="41" t="s">
        <v>363</v>
      </c>
      <c r="B152" s="38"/>
      <c r="C152" s="17" t="s">
        <v>27</v>
      </c>
      <c r="D152" s="17" t="s">
        <v>27</v>
      </c>
      <c r="E152" s="17" t="s">
        <v>27</v>
      </c>
      <c r="F152" s="17" t="s">
        <v>27</v>
      </c>
      <c r="G152" s="17" t="s">
        <v>27</v>
      </c>
    </row>
    <row r="153" ht="15.75" customHeight="1">
      <c r="A153" s="41" t="s">
        <v>194</v>
      </c>
      <c r="B153" s="38"/>
      <c r="C153" s="17" t="s">
        <v>27</v>
      </c>
      <c r="D153" s="17" t="s">
        <v>27</v>
      </c>
      <c r="E153" s="17" t="s">
        <v>27</v>
      </c>
      <c r="F153" s="17" t="s">
        <v>27</v>
      </c>
      <c r="G153" s="17" t="s">
        <v>27</v>
      </c>
    </row>
    <row r="154" ht="15.75" customHeight="1">
      <c r="A154" s="41" t="s">
        <v>364</v>
      </c>
      <c r="B154" s="38"/>
      <c r="C154" s="17">
        <v>4099790.0</v>
      </c>
      <c r="D154" s="17">
        <v>4644378.0</v>
      </c>
      <c r="E154" s="17">
        <v>5406433.0</v>
      </c>
      <c r="F154" s="17">
        <v>6954707.0</v>
      </c>
      <c r="G154" s="17">
        <v>8463029.0</v>
      </c>
    </row>
    <row r="155" ht="15.75" customHeight="1">
      <c r="A155" s="48" t="s">
        <v>365</v>
      </c>
      <c r="B155" s="49"/>
      <c r="C155" s="17">
        <v>5469725.0</v>
      </c>
      <c r="D155" s="17">
        <v>6128667.0</v>
      </c>
      <c r="E155" s="17">
        <v>7052284.0</v>
      </c>
      <c r="F155" s="17">
        <v>8743511.0</v>
      </c>
      <c r="G155" s="17">
        <v>1.0577734E7</v>
      </c>
    </row>
    <row r="156" ht="12.0" customHeight="1">
      <c r="A156" s="50" t="s">
        <v>366</v>
      </c>
      <c r="B156" s="51"/>
      <c r="C156" s="11"/>
      <c r="D156" s="11"/>
      <c r="E156" s="11"/>
      <c r="F156" s="11"/>
      <c r="G156" s="11"/>
    </row>
    <row r="157" ht="15.75" customHeight="1">
      <c r="A157" s="37" t="s">
        <v>367</v>
      </c>
      <c r="B157" s="38"/>
      <c r="C157" s="13">
        <v>761990.0</v>
      </c>
      <c r="D157" s="13">
        <v>942814.0</v>
      </c>
      <c r="E157" s="13">
        <v>954883.0</v>
      </c>
      <c r="F157" s="13">
        <v>1193614.0</v>
      </c>
      <c r="G157" s="13">
        <v>1424017.0</v>
      </c>
    </row>
    <row r="158" ht="15.75" customHeight="1">
      <c r="A158" s="40" t="s">
        <v>367</v>
      </c>
      <c r="B158" s="38"/>
      <c r="C158" s="15">
        <v>761990.0</v>
      </c>
      <c r="D158" s="15">
        <v>942814.0</v>
      </c>
      <c r="E158" s="15">
        <v>954883.0</v>
      </c>
      <c r="F158" s="15">
        <v>1193614.0</v>
      </c>
      <c r="G158" s="15">
        <v>1424017.0</v>
      </c>
    </row>
    <row r="159" ht="15.75" customHeight="1">
      <c r="A159" s="37" t="s">
        <v>368</v>
      </c>
      <c r="B159" s="38"/>
      <c r="C159" s="13">
        <v>-9171.0</v>
      </c>
      <c r="D159" s="13">
        <v>-103103.0</v>
      </c>
      <c r="E159" s="13">
        <v>33022.0</v>
      </c>
      <c r="F159" s="13">
        <v>-22674.0</v>
      </c>
      <c r="G159" s="13">
        <v>-9061.0</v>
      </c>
    </row>
    <row r="160" ht="15.75" customHeight="1">
      <c r="A160" s="40" t="s">
        <v>368</v>
      </c>
      <c r="B160" s="38"/>
      <c r="C160" s="15">
        <v>-9171.0</v>
      </c>
      <c r="D160" s="15">
        <v>-103103.0</v>
      </c>
      <c r="E160" s="15">
        <v>33022.0</v>
      </c>
      <c r="F160" s="15">
        <v>-22674.0</v>
      </c>
      <c r="G160" s="15">
        <v>-9061.0</v>
      </c>
    </row>
    <row r="161" ht="15.75" customHeight="1">
      <c r="A161" s="41" t="s">
        <v>369</v>
      </c>
      <c r="B161" s="38"/>
      <c r="C161" s="17">
        <v>752818.0</v>
      </c>
      <c r="D161" s="17">
        <v>839711.0</v>
      </c>
      <c r="E161" s="17">
        <v>987905.0</v>
      </c>
      <c r="F161" s="17">
        <v>1170940.0</v>
      </c>
      <c r="G161" s="17">
        <v>1414956.0</v>
      </c>
    </row>
    <row r="162" ht="15.75" customHeight="1">
      <c r="A162" s="41" t="s">
        <v>370</v>
      </c>
      <c r="B162" s="38"/>
      <c r="C162" s="17" t="s">
        <v>27</v>
      </c>
      <c r="D162" s="17" t="s">
        <v>27</v>
      </c>
      <c r="E162" s="17" t="s">
        <v>27</v>
      </c>
      <c r="F162" s="17" t="s">
        <v>27</v>
      </c>
      <c r="G162" s="17" t="s">
        <v>27</v>
      </c>
    </row>
    <row r="163" ht="15.75" customHeight="1">
      <c r="A163" s="41" t="s">
        <v>371</v>
      </c>
      <c r="B163" s="38"/>
      <c r="C163" s="17" t="s">
        <v>27</v>
      </c>
      <c r="D163" s="17" t="s">
        <v>27</v>
      </c>
      <c r="E163" s="17" t="s">
        <v>27</v>
      </c>
      <c r="F163" s="17" t="s">
        <v>27</v>
      </c>
      <c r="G163" s="17" t="s">
        <v>27</v>
      </c>
    </row>
    <row r="164" ht="15.75" customHeight="1">
      <c r="A164" s="41" t="s">
        <v>372</v>
      </c>
      <c r="B164" s="38"/>
      <c r="C164" s="17" t="s">
        <v>27</v>
      </c>
      <c r="D164" s="17" t="s">
        <v>27</v>
      </c>
      <c r="E164" s="17" t="s">
        <v>27</v>
      </c>
      <c r="F164" s="17" t="s">
        <v>27</v>
      </c>
      <c r="G164" s="17" t="s">
        <v>27</v>
      </c>
    </row>
    <row r="165" ht="15.75" customHeight="1">
      <c r="A165" s="41" t="s">
        <v>373</v>
      </c>
      <c r="B165" s="38"/>
      <c r="C165" s="17" t="s">
        <v>27</v>
      </c>
      <c r="D165" s="17" t="s">
        <v>27</v>
      </c>
      <c r="E165" s="17" t="s">
        <v>27</v>
      </c>
      <c r="F165" s="17" t="s">
        <v>27</v>
      </c>
      <c r="G165" s="17" t="s">
        <v>27</v>
      </c>
    </row>
    <row r="166" ht="15.75" customHeight="1">
      <c r="A166" s="41" t="s">
        <v>374</v>
      </c>
      <c r="B166" s="38"/>
      <c r="C166" s="17" t="s">
        <v>27</v>
      </c>
      <c r="D166" s="17" t="s">
        <v>27</v>
      </c>
      <c r="E166" s="17" t="s">
        <v>27</v>
      </c>
      <c r="F166" s="17" t="s">
        <v>27</v>
      </c>
      <c r="G166" s="17" t="s">
        <v>27</v>
      </c>
    </row>
    <row r="167" ht="15.75" customHeight="1">
      <c r="A167" s="41" t="s">
        <v>375</v>
      </c>
      <c r="B167" s="38"/>
      <c r="C167" s="17" t="s">
        <v>27</v>
      </c>
      <c r="D167" s="17" t="s">
        <v>27</v>
      </c>
      <c r="E167" s="17" t="s">
        <v>27</v>
      </c>
      <c r="F167" s="17" t="s">
        <v>27</v>
      </c>
      <c r="G167" s="17" t="s">
        <v>27</v>
      </c>
    </row>
    <row r="168" ht="15.75" customHeight="1">
      <c r="A168" s="41" t="s">
        <v>376</v>
      </c>
      <c r="B168" s="38"/>
      <c r="C168" s="17" t="s">
        <v>27</v>
      </c>
      <c r="D168" s="17" t="s">
        <v>27</v>
      </c>
      <c r="E168" s="17" t="s">
        <v>27</v>
      </c>
      <c r="F168" s="17" t="s">
        <v>27</v>
      </c>
      <c r="G168" s="17" t="s">
        <v>27</v>
      </c>
    </row>
    <row r="169" ht="15.75" customHeight="1">
      <c r="A169" s="41" t="s">
        <v>377</v>
      </c>
      <c r="B169" s="38"/>
      <c r="C169" s="17" t="s">
        <v>27</v>
      </c>
      <c r="D169" s="17" t="s">
        <v>27</v>
      </c>
      <c r="E169" s="17" t="s">
        <v>27</v>
      </c>
      <c r="F169" s="17" t="s">
        <v>27</v>
      </c>
      <c r="G169" s="17" t="s">
        <v>27</v>
      </c>
    </row>
    <row r="170" ht="15.75" customHeight="1">
      <c r="A170" s="41" t="s">
        <v>378</v>
      </c>
      <c r="B170" s="38"/>
      <c r="C170" s="17" t="s">
        <v>27</v>
      </c>
      <c r="D170" s="17" t="s">
        <v>27</v>
      </c>
      <c r="E170" s="17" t="s">
        <v>27</v>
      </c>
      <c r="F170" s="17" t="s">
        <v>27</v>
      </c>
      <c r="G170" s="17" t="s">
        <v>27</v>
      </c>
    </row>
    <row r="171" ht="15.75" customHeight="1">
      <c r="A171" s="48" t="s">
        <v>379</v>
      </c>
      <c r="B171" s="49"/>
      <c r="C171" s="17" t="s">
        <v>27</v>
      </c>
      <c r="D171" s="17" t="s">
        <v>27</v>
      </c>
      <c r="E171" s="17" t="s">
        <v>27</v>
      </c>
      <c r="F171" s="17" t="s">
        <v>27</v>
      </c>
      <c r="G171" s="17" t="s">
        <v>27</v>
      </c>
    </row>
    <row r="172" ht="15.75" customHeight="1">
      <c r="A172" s="52" t="s">
        <v>380</v>
      </c>
      <c r="B172" s="51"/>
      <c r="C172" s="53"/>
      <c r="D172" s="53"/>
      <c r="E172" s="53"/>
      <c r="F172" s="53"/>
      <c r="G172" s="53"/>
    </row>
    <row r="173" ht="15.75" customHeight="1">
      <c r="A173" s="54" t="s">
        <v>381</v>
      </c>
      <c r="B173" s="38"/>
      <c r="C173" s="55"/>
      <c r="D173" s="55"/>
      <c r="E173" s="55"/>
      <c r="F173" s="55"/>
      <c r="G173" s="55"/>
    </row>
    <row r="174" ht="15.75" customHeight="1">
      <c r="A174" s="56" t="s">
        <v>382</v>
      </c>
      <c r="B174" s="49"/>
      <c r="C174" s="15" t="s">
        <v>383</v>
      </c>
      <c r="D174" s="15" t="s">
        <v>384</v>
      </c>
      <c r="E174" s="15" t="s">
        <v>385</v>
      </c>
      <c r="F174" s="15" t="s">
        <v>386</v>
      </c>
      <c r="G174" s="15" t="s">
        <v>387</v>
      </c>
    </row>
    <row r="175" ht="15.75" customHeight="1">
      <c r="A175" s="57"/>
      <c r="B175" s="58"/>
      <c r="C175" s="59" t="s">
        <v>388</v>
      </c>
      <c r="D175" s="59" t="s">
        <v>388</v>
      </c>
      <c r="E175" s="59" t="s">
        <v>388</v>
      </c>
      <c r="F175" s="59" t="s">
        <v>388</v>
      </c>
      <c r="G175" s="59" t="s">
        <v>388</v>
      </c>
    </row>
    <row r="176" ht="15.75" customHeight="1">
      <c r="A176" s="57"/>
      <c r="B176" s="58"/>
      <c r="C176" s="15" t="s">
        <v>389</v>
      </c>
      <c r="D176" s="15" t="s">
        <v>390</v>
      </c>
      <c r="E176" s="15" t="s">
        <v>391</v>
      </c>
      <c r="F176" s="15" t="s">
        <v>392</v>
      </c>
      <c r="G176" s="15" t="s">
        <v>393</v>
      </c>
    </row>
    <row r="177" ht="15.75" customHeight="1">
      <c r="A177" s="60"/>
      <c r="B177" s="61"/>
      <c r="C177" s="59" t="s">
        <v>394</v>
      </c>
      <c r="D177" s="59" t="s">
        <v>394</v>
      </c>
      <c r="E177" s="59" t="s">
        <v>394</v>
      </c>
      <c r="F177" s="59" t="s">
        <v>394</v>
      </c>
      <c r="G177" s="59" t="s">
        <v>394</v>
      </c>
    </row>
    <row r="178" ht="15.75" customHeight="1">
      <c r="A178" s="56" t="s">
        <v>395</v>
      </c>
      <c r="B178" s="49"/>
      <c r="C178" s="15" t="s">
        <v>396</v>
      </c>
      <c r="D178" s="15" t="s">
        <v>396</v>
      </c>
      <c r="E178" s="15" t="s">
        <v>397</v>
      </c>
      <c r="F178" s="15" t="s">
        <v>396</v>
      </c>
      <c r="G178" s="62" t="s">
        <v>27</v>
      </c>
    </row>
    <row r="179" ht="15.75" customHeight="1">
      <c r="A179" s="60"/>
      <c r="B179" s="61"/>
      <c r="C179" s="59" t="s">
        <v>388</v>
      </c>
      <c r="D179" s="59" t="s">
        <v>388</v>
      </c>
      <c r="E179" s="59" t="s">
        <v>388</v>
      </c>
      <c r="F179" s="59" t="s">
        <v>388</v>
      </c>
      <c r="G179" s="63"/>
    </row>
    <row r="180" ht="15.75" customHeight="1">
      <c r="A180" s="56" t="s">
        <v>398</v>
      </c>
      <c r="B180" s="49"/>
      <c r="C180" s="15" t="s">
        <v>399</v>
      </c>
      <c r="D180" s="15" t="s">
        <v>399</v>
      </c>
      <c r="E180" s="15" t="s">
        <v>400</v>
      </c>
      <c r="F180" s="15" t="s">
        <v>400</v>
      </c>
      <c r="G180" s="15" t="s">
        <v>400</v>
      </c>
    </row>
    <row r="181" ht="15.75" customHeight="1">
      <c r="A181" s="57"/>
      <c r="B181" s="58"/>
      <c r="C181" s="59" t="s">
        <v>401</v>
      </c>
      <c r="D181" s="59" t="s">
        <v>402</v>
      </c>
      <c r="E181" s="59" t="s">
        <v>402</v>
      </c>
      <c r="F181" s="59" t="s">
        <v>403</v>
      </c>
      <c r="G181" s="59" t="s">
        <v>403</v>
      </c>
    </row>
    <row r="182" ht="15.75" customHeight="1">
      <c r="A182" s="57"/>
      <c r="B182" s="58"/>
      <c r="C182" s="15" t="s">
        <v>399</v>
      </c>
      <c r="D182" s="15" t="s">
        <v>399</v>
      </c>
      <c r="E182" s="15" t="s">
        <v>400</v>
      </c>
      <c r="F182" s="15" t="s">
        <v>404</v>
      </c>
      <c r="G182" s="15" t="s">
        <v>400</v>
      </c>
    </row>
    <row r="183" ht="15.75" customHeight="1">
      <c r="A183" s="60"/>
      <c r="B183" s="61"/>
      <c r="C183" s="59" t="s">
        <v>405</v>
      </c>
      <c r="D183" s="59" t="s">
        <v>406</v>
      </c>
      <c r="E183" s="59" t="s">
        <v>407</v>
      </c>
      <c r="F183" s="59" t="s">
        <v>408</v>
      </c>
      <c r="G183" s="59" t="s">
        <v>409</v>
      </c>
    </row>
    <row r="184" ht="15.75" customHeight="1">
      <c r="A184" s="56" t="s">
        <v>395</v>
      </c>
      <c r="B184" s="49"/>
      <c r="C184" s="15">
        <v>0.4173611111111111</v>
      </c>
      <c r="D184" s="15">
        <v>4.177083333333333</v>
      </c>
      <c r="E184" s="15">
        <v>0.8354166666666667</v>
      </c>
      <c r="F184" s="15">
        <v>0.20902777777777778</v>
      </c>
      <c r="G184" s="15">
        <v>0.8354166666666667</v>
      </c>
    </row>
    <row r="185" ht="15.75" customHeight="1">
      <c r="A185" s="64"/>
      <c r="B185" s="65"/>
      <c r="C185" s="59" t="s">
        <v>410</v>
      </c>
      <c r="D185" s="59" t="s">
        <v>411</v>
      </c>
      <c r="E185" s="59" t="s">
        <v>412</v>
      </c>
      <c r="F185" s="59" t="s">
        <v>413</v>
      </c>
      <c r="G185" s="59" t="s">
        <v>414</v>
      </c>
    </row>
    <row r="186" ht="15.75" customHeight="1">
      <c r="A186" s="52" t="s">
        <v>415</v>
      </c>
      <c r="B186" s="51"/>
      <c r="G186" s="66"/>
    </row>
    <row r="187" ht="15.75" customHeight="1">
      <c r="A187" s="54" t="s">
        <v>381</v>
      </c>
      <c r="B187" s="38"/>
      <c r="G187" s="55"/>
    </row>
    <row r="188" ht="15.75" customHeight="1">
      <c r="A188" s="67">
        <v>2024.0</v>
      </c>
      <c r="B188" s="68" t="s">
        <v>382</v>
      </c>
      <c r="G188" s="15" t="s">
        <v>416</v>
      </c>
    </row>
    <row r="189" ht="15.75" customHeight="1">
      <c r="A189" s="67"/>
      <c r="B189" s="68"/>
      <c r="G189" s="59" t="s">
        <v>394</v>
      </c>
    </row>
    <row r="190" ht="15.75" customHeight="1">
      <c r="A190" s="67"/>
      <c r="B190" s="68" t="s">
        <v>398</v>
      </c>
      <c r="G190" s="15" t="s">
        <v>404</v>
      </c>
    </row>
    <row r="191" ht="15.75" customHeight="1">
      <c r="A191" s="67"/>
      <c r="B191" s="68"/>
      <c r="G191" s="59" t="s">
        <v>417</v>
      </c>
    </row>
    <row r="192" ht="15.75" customHeight="1">
      <c r="A192" s="67"/>
      <c r="B192" s="68"/>
      <c r="G192" s="15" t="s">
        <v>400</v>
      </c>
    </row>
    <row r="193" ht="15.75" customHeight="1">
      <c r="A193" s="67"/>
      <c r="B193" s="68"/>
      <c r="G193" s="59" t="s">
        <v>418</v>
      </c>
    </row>
    <row r="194" ht="15.75" customHeight="1">
      <c r="A194" s="67"/>
      <c r="B194" s="68" t="s">
        <v>419</v>
      </c>
      <c r="G194" s="15" t="s">
        <v>420</v>
      </c>
    </row>
    <row r="195" ht="15.75" customHeight="1">
      <c r="A195" s="67"/>
      <c r="B195" s="68"/>
      <c r="G195" s="59" t="s">
        <v>421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73:B173"/>
    <mergeCell ref="A174:B177"/>
    <mergeCell ref="A178:B179"/>
    <mergeCell ref="G178:G179"/>
    <mergeCell ref="A180:B183"/>
    <mergeCell ref="A184:B185"/>
    <mergeCell ref="A186:B186"/>
    <mergeCell ref="A187:B187"/>
    <mergeCell ref="A166:B166"/>
    <mergeCell ref="A167:B167"/>
    <mergeCell ref="A168:B168"/>
    <mergeCell ref="A169:B169"/>
    <mergeCell ref="A170:B170"/>
    <mergeCell ref="A171:B171"/>
    <mergeCell ref="A172:B17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6.57"/>
    <col customWidth="1" min="2" max="12" width="28.57"/>
    <col customWidth="1" min="13" max="26" width="8.86"/>
  </cols>
  <sheetData>
    <row r="1">
      <c r="A1" s="1" t="s">
        <v>422</v>
      </c>
    </row>
    <row r="3">
      <c r="A3" s="2" t="s">
        <v>423</v>
      </c>
    </row>
    <row r="4">
      <c r="A4" s="2" t="s">
        <v>2</v>
      </c>
    </row>
    <row r="5">
      <c r="A5" s="5"/>
      <c r="B5" s="6">
        <v>2019.0</v>
      </c>
      <c r="C5" s="6">
        <v>2020.0</v>
      </c>
      <c r="D5" s="6">
        <v>2021.0</v>
      </c>
      <c r="E5" s="6">
        <v>2022.0</v>
      </c>
      <c r="F5" s="6">
        <v>2023.0</v>
      </c>
      <c r="G5" s="34" t="str">
        <f>'Revenue breakdown'!G2</f>
        <v>2024F</v>
      </c>
      <c r="H5" s="34" t="str">
        <f>'Revenue breakdown'!H2</f>
        <v>2025F</v>
      </c>
      <c r="I5" s="34" t="str">
        <f>'Revenue breakdown'!I2</f>
        <v>2026F</v>
      </c>
      <c r="J5" s="34" t="str">
        <f>'Revenue breakdown'!J2</f>
        <v>2027F</v>
      </c>
      <c r="K5" s="34" t="str">
        <f>'Revenue breakdown'!K2</f>
        <v>2028F</v>
      </c>
      <c r="L5" s="34" t="str">
        <f>'Revenue breakdown'!L2</f>
        <v>2029F</v>
      </c>
    </row>
    <row r="6" ht="12.0" customHeight="1">
      <c r="A6" s="11" t="s">
        <v>424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>
      <c r="A7" s="16" t="s">
        <v>425</v>
      </c>
      <c r="B7" s="17">
        <v>4664531.0</v>
      </c>
      <c r="C7" s="17">
        <v>5263457.0</v>
      </c>
      <c r="D7" s="17">
        <v>6337206.0</v>
      </c>
      <c r="E7" s="17">
        <v>7662283.0</v>
      </c>
      <c r="F7" s="17">
        <v>9203006.0</v>
      </c>
      <c r="G7" s="17"/>
      <c r="H7" s="17"/>
      <c r="I7" s="17"/>
      <c r="J7" s="17"/>
      <c r="K7" s="17"/>
      <c r="L7" s="17"/>
    </row>
    <row r="8">
      <c r="A8" s="12" t="s">
        <v>426</v>
      </c>
      <c r="B8" s="13">
        <v>1354613.0</v>
      </c>
      <c r="C8" s="13">
        <v>1490607.0</v>
      </c>
      <c r="D8" s="13">
        <v>1643916.0</v>
      </c>
      <c r="E8" s="13">
        <v>1833064.0</v>
      </c>
      <c r="F8" s="13">
        <v>2286514.0</v>
      </c>
      <c r="G8" s="13"/>
      <c r="H8" s="13"/>
      <c r="I8" s="13"/>
      <c r="J8" s="13"/>
      <c r="K8" s="13"/>
      <c r="L8" s="13"/>
    </row>
    <row r="9">
      <c r="A9" s="14" t="s">
        <v>427</v>
      </c>
      <c r="B9" s="15">
        <v>1354613.0</v>
      </c>
      <c r="C9" s="15">
        <v>1490607.0</v>
      </c>
      <c r="D9" s="15">
        <v>1643916.0</v>
      </c>
      <c r="E9" s="15">
        <v>1833064.0</v>
      </c>
      <c r="F9" s="15">
        <v>2286514.0</v>
      </c>
      <c r="G9" s="15"/>
      <c r="H9" s="15"/>
      <c r="I9" s="15"/>
      <c r="J9" s="15"/>
      <c r="K9" s="15"/>
      <c r="L9" s="15"/>
    </row>
    <row r="10">
      <c r="A10" s="16" t="s">
        <v>428</v>
      </c>
      <c r="B10" s="17" t="s">
        <v>27</v>
      </c>
      <c r="C10" s="17" t="s">
        <v>27</v>
      </c>
      <c r="D10" s="17" t="s">
        <v>27</v>
      </c>
      <c r="E10" s="17" t="s">
        <v>27</v>
      </c>
      <c r="F10" s="17" t="s">
        <v>27</v>
      </c>
      <c r="G10" s="17"/>
      <c r="H10" s="17"/>
      <c r="I10" s="17"/>
      <c r="J10" s="17"/>
      <c r="K10" s="17"/>
      <c r="L10" s="17"/>
    </row>
    <row r="11">
      <c r="A11" s="16" t="s">
        <v>429</v>
      </c>
      <c r="B11" s="17" t="s">
        <v>27</v>
      </c>
      <c r="C11" s="17" t="s">
        <v>27</v>
      </c>
      <c r="D11" s="17" t="s">
        <v>27</v>
      </c>
      <c r="E11" s="17" t="s">
        <v>27</v>
      </c>
      <c r="F11" s="17" t="s">
        <v>27</v>
      </c>
      <c r="G11" s="17"/>
      <c r="H11" s="17"/>
      <c r="I11" s="17"/>
      <c r="J11" s="17"/>
      <c r="K11" s="17"/>
      <c r="L11" s="17"/>
    </row>
    <row r="12">
      <c r="A12" s="12" t="s">
        <v>430</v>
      </c>
      <c r="B12" s="13">
        <v>-247143.0</v>
      </c>
      <c r="C12" s="13">
        <v>-343816.0</v>
      </c>
      <c r="D12" s="13">
        <v>-928199.0</v>
      </c>
      <c r="E12" s="13">
        <v>-453084.0</v>
      </c>
      <c r="F12" s="13">
        <v>-499761.0</v>
      </c>
      <c r="G12" s="13"/>
      <c r="H12" s="13"/>
      <c r="I12" s="13"/>
      <c r="J12" s="13"/>
      <c r="K12" s="13"/>
      <c r="L12" s="13"/>
    </row>
    <row r="13">
      <c r="A13" s="14" t="s">
        <v>431</v>
      </c>
      <c r="B13" s="15">
        <v>-903441.0</v>
      </c>
      <c r="C13" s="15">
        <v>-1039618.0</v>
      </c>
      <c r="D13" s="15">
        <v>-1700489.0</v>
      </c>
      <c r="E13" s="15">
        <v>-1986716.0</v>
      </c>
      <c r="F13" s="15">
        <v>-1976268.0</v>
      </c>
      <c r="G13" s="15"/>
      <c r="H13" s="15"/>
      <c r="I13" s="15"/>
      <c r="J13" s="15"/>
      <c r="K13" s="15"/>
      <c r="L13" s="15"/>
    </row>
    <row r="14">
      <c r="A14" s="14" t="s">
        <v>432</v>
      </c>
      <c r="B14" s="15">
        <v>656299.0</v>
      </c>
      <c r="C14" s="15">
        <v>695802.0</v>
      </c>
      <c r="D14" s="15">
        <v>772290.0</v>
      </c>
      <c r="E14" s="15">
        <v>1533632.0</v>
      </c>
      <c r="F14" s="15">
        <v>1476507.0</v>
      </c>
      <c r="G14" s="15"/>
      <c r="H14" s="15"/>
      <c r="I14" s="15"/>
      <c r="J14" s="15"/>
      <c r="K14" s="15"/>
      <c r="L14" s="15"/>
    </row>
    <row r="15">
      <c r="A15" s="21" t="s">
        <v>433</v>
      </c>
      <c r="B15" s="19">
        <v>-1873251.0</v>
      </c>
      <c r="C15" s="19">
        <v>-70569.0</v>
      </c>
      <c r="D15" s="19">
        <v>-1213229.0</v>
      </c>
      <c r="E15" s="19">
        <v>-3988432.0</v>
      </c>
      <c r="F15" s="19">
        <v>-1472663.0</v>
      </c>
      <c r="G15" s="19">
        <f>G16*('Revenue breakdown'!G3-'Revenue breakdown'!F3)</f>
        <v>-1460903.658</v>
      </c>
      <c r="H15" s="19">
        <f>H16*('Revenue breakdown'!H3-'Revenue breakdown'!G3)</f>
        <v>-2568791.477</v>
      </c>
      <c r="I15" s="19">
        <f>I16*('Revenue breakdown'!I3-'Revenue breakdown'!H3)</f>
        <v>-2864871.68</v>
      </c>
      <c r="J15" s="19">
        <f>J16*('Revenue breakdown'!J3-'Revenue breakdown'!I3)</f>
        <v>-3329546.812</v>
      </c>
      <c r="K15" s="19">
        <f>K16*('Revenue breakdown'!K3-'Revenue breakdown'!J3)</f>
        <v>-4027219.613</v>
      </c>
      <c r="L15" s="19">
        <f>L16*('Revenue breakdown'!L3-'Revenue breakdown'!K3)</f>
        <v>-4859172.398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/>
      <c r="B16" s="19"/>
      <c r="C16" s="28">
        <f>C15/('Revenue breakdown'!C3-'Revenue breakdown'!B3)</f>
        <v>-0.03339057016</v>
      </c>
      <c r="D16" s="28">
        <f>D15/('Revenue breakdown'!D3-'Revenue breakdown'!C3)</f>
        <v>-0.2082130999</v>
      </c>
      <c r="E16" s="28">
        <f>E15/('Revenue breakdown'!E3-'Revenue breakdown'!D3)</f>
        <v>-0.4775269942</v>
      </c>
      <c r="F16" s="28">
        <f>F15/('Revenue breakdown'!F3-'Revenue breakdown'!E3)</f>
        <v>-0.1710733259</v>
      </c>
      <c r="G16" s="28">
        <f t="shared" ref="G16:L16" si="1">MEDIAN(C16:F16)</f>
        <v>-0.1896432129</v>
      </c>
      <c r="H16" s="28">
        <f t="shared" si="1"/>
        <v>-0.1989281564</v>
      </c>
      <c r="I16" s="28">
        <f t="shared" si="1"/>
        <v>-0.1942856847</v>
      </c>
      <c r="J16" s="28">
        <f t="shared" si="1"/>
        <v>-0.1919644488</v>
      </c>
      <c r="K16" s="28">
        <f t="shared" si="1"/>
        <v>-0.1931250668</v>
      </c>
      <c r="L16" s="28">
        <f t="shared" si="1"/>
        <v>-0.1937053757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4" t="s">
        <v>434</v>
      </c>
      <c r="B17" s="15">
        <v>-481203.0</v>
      </c>
      <c r="C17" s="15">
        <v>311571.0</v>
      </c>
      <c r="D17" s="15">
        <v>-693503.0</v>
      </c>
      <c r="E17" s="15">
        <v>-1949023.0</v>
      </c>
      <c r="F17" s="15">
        <v>-1163209.0</v>
      </c>
      <c r="G17" s="15"/>
      <c r="H17" s="15"/>
      <c r="I17" s="15"/>
      <c r="J17" s="15"/>
      <c r="K17" s="15"/>
      <c r="L17" s="15"/>
    </row>
    <row r="18">
      <c r="A18" s="14" t="s">
        <v>435</v>
      </c>
      <c r="B18" s="15">
        <v>256059.0</v>
      </c>
      <c r="C18" s="15">
        <v>-55125.0</v>
      </c>
      <c r="D18" s="15">
        <v>-218232.0</v>
      </c>
      <c r="E18" s="15">
        <v>-497803.0</v>
      </c>
      <c r="F18" s="15">
        <v>396161.0</v>
      </c>
      <c r="G18" s="15"/>
      <c r="H18" s="15"/>
      <c r="I18" s="15"/>
      <c r="J18" s="15"/>
      <c r="K18" s="15"/>
      <c r="L18" s="15"/>
    </row>
    <row r="19">
      <c r="A19" s="14" t="s">
        <v>25</v>
      </c>
      <c r="B19" s="15">
        <v>-686544.0</v>
      </c>
      <c r="C19" s="15">
        <v>51528.0</v>
      </c>
      <c r="D19" s="15">
        <v>-375543.0</v>
      </c>
      <c r="E19" s="15">
        <v>-633951.0</v>
      </c>
      <c r="F19" s="15">
        <v>65247.0</v>
      </c>
      <c r="G19" s="15"/>
      <c r="H19" s="15"/>
      <c r="I19" s="15"/>
      <c r="J19" s="15"/>
      <c r="K19" s="15"/>
      <c r="L19" s="15"/>
    </row>
    <row r="20">
      <c r="A20" s="14" t="s">
        <v>52</v>
      </c>
      <c r="B20" s="15">
        <v>305738.0</v>
      </c>
      <c r="C20" s="15">
        <v>1060520.0</v>
      </c>
      <c r="D20" s="15">
        <v>1910090.0</v>
      </c>
      <c r="E20" s="15">
        <v>1299835.0</v>
      </c>
      <c r="F20" s="15">
        <v>1380256.0</v>
      </c>
      <c r="G20" s="15"/>
      <c r="H20" s="15"/>
      <c r="I20" s="15"/>
      <c r="J20" s="15"/>
      <c r="K20" s="15"/>
      <c r="L20" s="15"/>
    </row>
    <row r="21" ht="15.75" customHeight="1">
      <c r="A21" s="14" t="s">
        <v>436</v>
      </c>
      <c r="B21" s="15">
        <v>-1267300.0</v>
      </c>
      <c r="C21" s="15">
        <v>-1439065.0</v>
      </c>
      <c r="D21" s="15">
        <v>-1836041.0</v>
      </c>
      <c r="E21" s="15">
        <v>-2207490.0</v>
      </c>
      <c r="F21" s="15">
        <v>-2151118.0</v>
      </c>
      <c r="G21" s="15"/>
      <c r="H21" s="15"/>
      <c r="I21" s="15"/>
      <c r="J21" s="15"/>
      <c r="K21" s="15"/>
      <c r="L21" s="15"/>
    </row>
    <row r="22" ht="15.75" customHeight="1">
      <c r="A22" s="16" t="s">
        <v>437</v>
      </c>
      <c r="B22" s="17">
        <v>3898750.0</v>
      </c>
      <c r="C22" s="17">
        <v>6339679.0</v>
      </c>
      <c r="D22" s="17">
        <v>5839694.0</v>
      </c>
      <c r="E22" s="17">
        <v>5053832.0</v>
      </c>
      <c r="F22" s="17">
        <v>9517096.0</v>
      </c>
      <c r="G22" s="17"/>
      <c r="H22" s="17"/>
      <c r="I22" s="17"/>
      <c r="J22" s="17"/>
      <c r="K22" s="17"/>
      <c r="L22" s="17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ht="12.0" customHeight="1">
      <c r="A24" s="11" t="s">
        <v>438</v>
      </c>
      <c r="B24" s="11"/>
      <c r="C24" s="11"/>
      <c r="D24" s="11"/>
      <c r="E24" s="11"/>
      <c r="F24" s="11"/>
      <c r="G24" s="19"/>
      <c r="H24" s="19"/>
      <c r="I24" s="19"/>
      <c r="J24" s="19"/>
      <c r="K24" s="19"/>
      <c r="L24" s="19"/>
    </row>
    <row r="25" ht="15.75" customHeight="1">
      <c r="A25" s="21" t="s">
        <v>439</v>
      </c>
      <c r="B25" s="19">
        <v>-3233070.0</v>
      </c>
      <c r="C25" s="19">
        <v>-3017645.0</v>
      </c>
      <c r="D25" s="19">
        <v>-2911001.0</v>
      </c>
      <c r="E25" s="19">
        <v>-3215243.0</v>
      </c>
      <c r="F25" s="19">
        <v>-3978252.0</v>
      </c>
      <c r="G25" s="19">
        <f t="shared" ref="G25:L25" si="2">SUM(G26:G28)</f>
        <v>-2605512.659</v>
      </c>
      <c r="H25" s="19">
        <f t="shared" si="2"/>
        <v>-3255914.536</v>
      </c>
      <c r="I25" s="19">
        <f t="shared" si="2"/>
        <v>-3172483.413</v>
      </c>
      <c r="J25" s="19">
        <f t="shared" si="2"/>
        <v>-2982576.118</v>
      </c>
      <c r="K25" s="19">
        <f t="shared" si="2"/>
        <v>-2865528.336</v>
      </c>
      <c r="L25" s="19">
        <f t="shared" si="2"/>
        <v>-3100526.482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69" t="s">
        <v>440</v>
      </c>
      <c r="B26" s="70">
        <f>33.8%</f>
        <v>0.338</v>
      </c>
      <c r="C26" s="70">
        <f t="shared" ref="C26:F26" si="3">B26*0.8</f>
        <v>0.2704</v>
      </c>
      <c r="D26" s="70">
        <f t="shared" si="3"/>
        <v>0.21632</v>
      </c>
      <c r="E26" s="70">
        <f t="shared" si="3"/>
        <v>0.173056</v>
      </c>
      <c r="F26" s="70">
        <f t="shared" si="3"/>
        <v>0.1384448</v>
      </c>
      <c r="G26" s="19">
        <f>-$B$26*('Revenue breakdown'!G6-'Revenue breakdown'!F6)</f>
        <v>-1967102.045</v>
      </c>
      <c r="H26" s="19">
        <f>-C26*('Revenue breakdown'!H6-'Revenue breakdown'!G6)</f>
        <v>-2443213.635</v>
      </c>
      <c r="I26" s="19">
        <f>-$D$26*('Revenue breakdown'!I6-'Revenue breakdown'!H6)</f>
        <v>-2411475.231</v>
      </c>
      <c r="J26" s="19">
        <f>-$E$26*('Revenue breakdown'!J6-'Revenue breakdown'!I6)</f>
        <v>-2286160.362</v>
      </c>
      <c r="K26" s="19">
        <f>-$F$26*('Revenue breakdown'!K6-'Revenue breakdown'!J6)</f>
        <v>-2250264.309</v>
      </c>
      <c r="L26" s="19">
        <f>-$F$26*0.9*('Revenue breakdown'!L6-'Revenue breakdown'!K6)</f>
        <v>-2457857.547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69" t="s">
        <v>441</v>
      </c>
      <c r="B27" s="70">
        <f>35.3%</f>
        <v>0.353</v>
      </c>
      <c r="C27" s="70">
        <f t="shared" ref="C27:F27" si="4">B27*0.8</f>
        <v>0.2824</v>
      </c>
      <c r="D27" s="70">
        <f t="shared" si="4"/>
        <v>0.22592</v>
      </c>
      <c r="E27" s="70">
        <f t="shared" si="4"/>
        <v>0.180736</v>
      </c>
      <c r="F27" s="70">
        <f t="shared" si="4"/>
        <v>0.1445888</v>
      </c>
      <c r="G27" s="19">
        <f>-$B$27*('Revenue breakdown'!G16-'Revenue breakdown'!F16)</f>
        <v>-452297.6174</v>
      </c>
      <c r="H27" s="19">
        <f>-$C$27*0.8*('Revenue breakdown'!H16-'Revenue breakdown'!G16)</f>
        <v>-367962.8173</v>
      </c>
      <c r="I27" s="19">
        <f>-$D$27*('Revenue breakdown'!I16-'Revenue breakdown'!H16)</f>
        <v>-396955.8912</v>
      </c>
      <c r="J27" s="19">
        <f>-$E$27*('Revenue breakdown'!J16-'Revenue breakdown'!I16)</f>
        <v>-339935.7527</v>
      </c>
      <c r="K27" s="19">
        <f>-$F$27*('Revenue breakdown'!K16-'Revenue breakdown'!J16)</f>
        <v>-266198.8072</v>
      </c>
      <c r="L27" s="19">
        <f>-$F$27*0.9*('Revenue breakdown'!L16-'Revenue breakdown'!K16)</f>
        <v>-258138.6891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69" t="s">
        <v>442</v>
      </c>
      <c r="B28" s="70">
        <f>30.9%</f>
        <v>0.309</v>
      </c>
      <c r="C28" s="70">
        <f t="shared" ref="C28:F28" si="5">B28*0.8</f>
        <v>0.2472</v>
      </c>
      <c r="D28" s="70">
        <f t="shared" si="5"/>
        <v>0.19776</v>
      </c>
      <c r="E28" s="70">
        <f t="shared" si="5"/>
        <v>0.158208</v>
      </c>
      <c r="F28" s="70">
        <f t="shared" si="5"/>
        <v>0.1265664</v>
      </c>
      <c r="G28" s="19">
        <f>-$B$28*('Revenue breakdown'!G26-'Revenue breakdown'!F26)</f>
        <v>-186112.9963</v>
      </c>
      <c r="H28" s="19">
        <f>-$C$28*0.8*('Revenue breakdown'!H26-'Revenue breakdown'!G26)</f>
        <v>-444738.0832</v>
      </c>
      <c r="I28" s="19">
        <f>-$D$28*('Revenue breakdown'!I26-'Revenue breakdown'!H26)</f>
        <v>-364052.2913</v>
      </c>
      <c r="J28" s="19">
        <f>-$E$28*('Revenue breakdown'!J26-'Revenue breakdown'!I26)</f>
        <v>-356480.0036</v>
      </c>
      <c r="K28" s="19">
        <f>-$F$28*('Revenue breakdown'!K26-'Revenue breakdown'!J26)</f>
        <v>-349065.2195</v>
      </c>
      <c r="L28" s="19">
        <f>-$F$28*0.9*('Revenue breakdown'!L26-'Revenue breakdown'!K26)</f>
        <v>-384530.2459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69" t="s">
        <v>66</v>
      </c>
      <c r="B29" s="28">
        <f>ABS(B25/'Revenue breakdown'!B3)</f>
        <v>0.1166459092</v>
      </c>
      <c r="C29" s="28">
        <f>ABS(C25/'Revenue breakdown'!C3)</f>
        <v>0.1011600548</v>
      </c>
      <c r="D29" s="28">
        <f>ABS(D25/'Revenue breakdown'!D3)</f>
        <v>0.08163837477</v>
      </c>
      <c r="E29" s="28">
        <f>ABS(E25/'Revenue breakdown'!E3)</f>
        <v>0.07305788419</v>
      </c>
      <c r="F29" s="28">
        <f>ABS(F25/'Revenue breakdown'!F3)</f>
        <v>0.07560643668</v>
      </c>
      <c r="G29" s="28">
        <f t="shared" ref="G29:L29" si="6">F29</f>
        <v>0.07560643668</v>
      </c>
      <c r="H29" s="28">
        <f t="shared" si="6"/>
        <v>0.07560643668</v>
      </c>
      <c r="I29" s="28">
        <f t="shared" si="6"/>
        <v>0.07560643668</v>
      </c>
      <c r="J29" s="28">
        <f t="shared" si="6"/>
        <v>0.07560643668</v>
      </c>
      <c r="K29" s="28">
        <f t="shared" si="6"/>
        <v>0.07560643668</v>
      </c>
      <c r="L29" s="28">
        <f t="shared" si="6"/>
        <v>0.07560643668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ht="15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ht="15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ht="15.75" customHeight="1">
      <c r="A33" s="14" t="s">
        <v>443</v>
      </c>
      <c r="B33" s="15">
        <v>-3233070.0</v>
      </c>
      <c r="C33" s="15">
        <v>-3017645.0</v>
      </c>
      <c r="D33" s="15">
        <v>-2911001.0</v>
      </c>
      <c r="E33" s="15">
        <v>-3215243.0</v>
      </c>
      <c r="F33" s="15">
        <v>-3978252.0</v>
      </c>
      <c r="G33" s="15"/>
      <c r="H33" s="15"/>
      <c r="I33" s="15"/>
      <c r="J33" s="15"/>
      <c r="K33" s="15"/>
      <c r="L33" s="15"/>
    </row>
    <row r="34" ht="15.75" customHeight="1">
      <c r="A34" s="12" t="s">
        <v>444</v>
      </c>
      <c r="B34" s="13">
        <v>-611999.0</v>
      </c>
      <c r="C34" s="13">
        <v>-5126479.0</v>
      </c>
      <c r="D34" s="13">
        <v>-7501889.0</v>
      </c>
      <c r="E34" s="13">
        <v>8972475.0</v>
      </c>
      <c r="F34" s="13">
        <v>-2570122.0</v>
      </c>
      <c r="G34" s="13"/>
      <c r="H34" s="13"/>
      <c r="I34" s="13"/>
      <c r="J34" s="13"/>
      <c r="K34" s="13"/>
      <c r="L34" s="13"/>
    </row>
    <row r="35" ht="15.75" customHeight="1">
      <c r="A35" s="14" t="s">
        <v>445</v>
      </c>
      <c r="B35" s="15">
        <v>2252.0</v>
      </c>
      <c r="C35" s="15">
        <v>3323.0</v>
      </c>
      <c r="D35" s="15">
        <v>2867.0</v>
      </c>
      <c r="E35" s="15">
        <v>5662.0</v>
      </c>
      <c r="F35" s="15">
        <v>29270.0</v>
      </c>
      <c r="G35" s="15"/>
      <c r="H35" s="15"/>
      <c r="I35" s="15"/>
      <c r="J35" s="15"/>
      <c r="K35" s="15"/>
      <c r="L35" s="15"/>
    </row>
    <row r="36" ht="15.75" customHeight="1">
      <c r="A36" s="14" t="s">
        <v>446</v>
      </c>
      <c r="B36" s="15">
        <v>120175.0</v>
      </c>
      <c r="C36" s="15">
        <v>31000.0</v>
      </c>
      <c r="D36" s="15">
        <v>2.759043E7</v>
      </c>
      <c r="E36" s="15">
        <v>4.0725516E7</v>
      </c>
      <c r="F36" s="15">
        <v>3.0553191E7</v>
      </c>
      <c r="G36" s="15"/>
      <c r="H36" s="15"/>
      <c r="I36" s="15"/>
      <c r="J36" s="15"/>
      <c r="K36" s="15"/>
      <c r="L36" s="15"/>
    </row>
    <row r="37" ht="15.75" customHeight="1">
      <c r="A37" s="14" t="s">
        <v>447</v>
      </c>
      <c r="B37" s="15">
        <v>-1316846.0</v>
      </c>
      <c r="C37" s="15">
        <v>-6055264.0</v>
      </c>
      <c r="D37" s="15">
        <v>-3.6277997E7</v>
      </c>
      <c r="E37" s="15">
        <v>-3.3552328E7</v>
      </c>
      <c r="F37" s="15">
        <v>-3.5289808E7</v>
      </c>
      <c r="G37" s="15"/>
      <c r="H37" s="15"/>
      <c r="I37" s="15"/>
      <c r="J37" s="15"/>
      <c r="K37" s="15"/>
      <c r="L37" s="15"/>
    </row>
    <row r="38" ht="15.75" customHeight="1">
      <c r="A38" s="14" t="s">
        <v>448</v>
      </c>
      <c r="B38" s="15">
        <v>582420.0</v>
      </c>
      <c r="C38" s="15">
        <v>894462.0</v>
      </c>
      <c r="D38" s="15">
        <v>1182812.0</v>
      </c>
      <c r="E38" s="15">
        <v>1793625.0</v>
      </c>
      <c r="F38" s="15">
        <v>2137226.0</v>
      </c>
      <c r="G38" s="15"/>
      <c r="H38" s="15"/>
      <c r="I38" s="15"/>
      <c r="J38" s="15"/>
      <c r="K38" s="15"/>
      <c r="L38" s="15"/>
    </row>
    <row r="39" ht="15.75" customHeight="1">
      <c r="A39" s="16" t="s">
        <v>449</v>
      </c>
      <c r="B39" s="17">
        <v>-3845068.0</v>
      </c>
      <c r="C39" s="17">
        <v>-8144124.0</v>
      </c>
      <c r="D39" s="17">
        <v>-1.041289E7</v>
      </c>
      <c r="E39" s="17">
        <v>5757232.0</v>
      </c>
      <c r="F39" s="17">
        <v>-6548374.0</v>
      </c>
      <c r="G39" s="17"/>
      <c r="H39" s="17"/>
      <c r="I39" s="17"/>
      <c r="J39" s="17"/>
      <c r="K39" s="17"/>
      <c r="L39" s="17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ht="12.0" customHeight="1">
      <c r="A41" s="11" t="s">
        <v>450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ht="15.75" customHeight="1">
      <c r="A42" s="16" t="s">
        <v>451</v>
      </c>
      <c r="B42" s="17" t="s">
        <v>27</v>
      </c>
      <c r="C42" s="17" t="s">
        <v>27</v>
      </c>
      <c r="D42" s="17" t="s">
        <v>27</v>
      </c>
      <c r="E42" s="17" t="s">
        <v>27</v>
      </c>
      <c r="F42" s="17" t="s">
        <v>27</v>
      </c>
      <c r="G42" s="17"/>
      <c r="H42" s="17"/>
      <c r="I42" s="17"/>
      <c r="J42" s="17"/>
      <c r="K42" s="17"/>
      <c r="L42" s="17"/>
    </row>
    <row r="43" ht="15.75" customHeight="1">
      <c r="A43" s="12" t="s">
        <v>452</v>
      </c>
      <c r="B43" s="13">
        <v>-1483559.0</v>
      </c>
      <c r="C43" s="13">
        <v>-1899079.0</v>
      </c>
      <c r="D43" s="13">
        <v>-2254184.0</v>
      </c>
      <c r="E43" s="13">
        <v>-2222135.0</v>
      </c>
      <c r="F43" s="13">
        <v>-2930628.0</v>
      </c>
      <c r="G43" s="13"/>
      <c r="H43" s="13"/>
      <c r="I43" s="13"/>
      <c r="J43" s="13"/>
      <c r="K43" s="13"/>
      <c r="L43" s="13"/>
    </row>
    <row r="44" ht="15.75" customHeight="1">
      <c r="A44" s="14" t="s">
        <v>453</v>
      </c>
      <c r="B44" s="15">
        <v>-1483559.0</v>
      </c>
      <c r="C44" s="15">
        <v>-1899079.0</v>
      </c>
      <c r="D44" s="15">
        <v>-2254184.0</v>
      </c>
      <c r="E44" s="15">
        <v>-2222135.0</v>
      </c>
      <c r="F44" s="15">
        <v>-2930628.0</v>
      </c>
      <c r="G44" s="15"/>
      <c r="H44" s="15"/>
      <c r="I44" s="15"/>
      <c r="J44" s="15"/>
      <c r="K44" s="15"/>
      <c r="L44" s="15"/>
    </row>
    <row r="45" ht="15.75" customHeight="1">
      <c r="A45" s="12" t="s">
        <v>454</v>
      </c>
      <c r="B45" s="13">
        <v>71445.0</v>
      </c>
      <c r="C45" s="13">
        <v>59634.0</v>
      </c>
      <c r="D45" s="13">
        <v>87611.0</v>
      </c>
      <c r="E45" s="13">
        <v>77029.0</v>
      </c>
      <c r="F45" s="13">
        <v>73051.0</v>
      </c>
      <c r="G45" s="13"/>
      <c r="H45" s="13"/>
      <c r="I45" s="13"/>
      <c r="J45" s="13"/>
      <c r="K45" s="13"/>
      <c r="L45" s="13"/>
    </row>
    <row r="46" ht="15.75" customHeight="1">
      <c r="A46" s="14" t="s">
        <v>455</v>
      </c>
      <c r="B46" s="15">
        <v>71715.0</v>
      </c>
      <c r="C46" s="15">
        <v>59634.0</v>
      </c>
      <c r="D46" s="15">
        <v>87611.0</v>
      </c>
      <c r="E46" s="15">
        <v>77029.0</v>
      </c>
      <c r="F46" s="15">
        <v>73051.0</v>
      </c>
      <c r="G46" s="15"/>
      <c r="H46" s="15"/>
      <c r="I46" s="15"/>
      <c r="J46" s="15"/>
      <c r="K46" s="15"/>
      <c r="L46" s="15"/>
    </row>
    <row r="47" ht="15.75" customHeight="1">
      <c r="A47" s="14" t="s">
        <v>456</v>
      </c>
      <c r="B47" s="15">
        <v>-270.0</v>
      </c>
      <c r="C47" s="15">
        <v>0.0</v>
      </c>
      <c r="D47" s="15" t="s">
        <v>27</v>
      </c>
      <c r="E47" s="15" t="s">
        <v>27</v>
      </c>
      <c r="F47" s="15" t="s">
        <v>27</v>
      </c>
      <c r="G47" s="15"/>
      <c r="H47" s="15"/>
      <c r="I47" s="15"/>
      <c r="J47" s="15"/>
      <c r="K47" s="15"/>
      <c r="L47" s="15"/>
    </row>
    <row r="48" ht="15.75" customHeight="1">
      <c r="A48" s="14" t="s">
        <v>457</v>
      </c>
      <c r="B48" s="15">
        <v>71445.0</v>
      </c>
      <c r="C48" s="15">
        <v>59634.0</v>
      </c>
      <c r="D48" s="15">
        <v>87611.0</v>
      </c>
      <c r="E48" s="15">
        <v>77029.0</v>
      </c>
      <c r="F48" s="15">
        <v>73051.0</v>
      </c>
      <c r="G48" s="15"/>
      <c r="H48" s="15"/>
      <c r="I48" s="15"/>
      <c r="J48" s="15"/>
      <c r="K48" s="15"/>
      <c r="L48" s="15"/>
    </row>
    <row r="49" ht="15.75" customHeight="1">
      <c r="A49" s="16" t="s">
        <v>458</v>
      </c>
      <c r="B49" s="17">
        <v>897743.0</v>
      </c>
      <c r="C49" s="17">
        <v>4876802.0</v>
      </c>
      <c r="D49" s="17">
        <v>7531235.0</v>
      </c>
      <c r="E49" s="17">
        <v>-7628202.0</v>
      </c>
      <c r="F49" s="17">
        <v>1689194.0</v>
      </c>
      <c r="G49" s="71"/>
      <c r="H49" s="71"/>
      <c r="I49" s="71"/>
      <c r="J49" s="71"/>
      <c r="K49" s="71"/>
      <c r="L49" s="71"/>
    </row>
    <row r="50" ht="15.75" customHeight="1">
      <c r="A50" s="69" t="s">
        <v>459</v>
      </c>
      <c r="B50" s="72">
        <f>'FPT Corp | Balance Sheet '!B68-'FPT Corp | Balance Sheet '!B9-'FPT Corp | Balance Sheet '!B10</f>
        <v>4410017</v>
      </c>
      <c r="C50" s="72">
        <f>'FPT Corp | Balance Sheet '!C68-'FPT Corp | Balance Sheet '!C9-'FPT Corp | Balance Sheet '!C10</f>
        <v>8054015</v>
      </c>
      <c r="D50" s="72">
        <f>'FPT Corp | Balance Sheet '!D68-'FPT Corp | Balance Sheet '!D9-'FPT Corp | Balance Sheet '!D10</f>
        <v>14677905</v>
      </c>
      <c r="E50" s="72">
        <f>'FPT Corp | Balance Sheet '!E68-'FPT Corp | Balance Sheet '!E9-'FPT Corp | Balance Sheet '!E10</f>
        <v>5941998</v>
      </c>
      <c r="F50" s="72">
        <f>'FPT Corp | Balance Sheet '!F68-'FPT Corp | Balance Sheet '!F9-'FPT Corp | Balance Sheet '!F10</f>
        <v>5766812</v>
      </c>
      <c r="G50" s="73">
        <f>F50*(1+'Key metrics'!H32)</f>
        <v>6206650.9</v>
      </c>
      <c r="H50" s="73">
        <f>G50*(1+'Key metrics'!I32)</f>
        <v>6680036.629</v>
      </c>
      <c r="I50" s="73">
        <f>H50*(1+'Key metrics'!J32)</f>
        <v>6694994.226</v>
      </c>
      <c r="J50" s="73">
        <f>I50*(1+'Key metrics'!K32)</f>
        <v>6200527.185</v>
      </c>
      <c r="K50" s="73">
        <f>J50*(1+'Key metrics'!L32)</f>
        <v>6237825.711</v>
      </c>
      <c r="L50" s="73">
        <f>K50*(1+'Key metrics'!M32)</f>
        <v>6346288.695</v>
      </c>
    </row>
    <row r="51" ht="15.75" customHeight="1">
      <c r="A51" s="69" t="s">
        <v>460</v>
      </c>
      <c r="B51" s="74" t="str">
        <f>'Key metrics'!C32</f>
        <v/>
      </c>
      <c r="C51" s="74">
        <f>'Key metrics'!D32</f>
        <v>0.4464285714</v>
      </c>
      <c r="D51" s="74">
        <f>'Key metrics'!E32</f>
        <v>0.3827160494</v>
      </c>
      <c r="E51" s="74">
        <f>'Key metrics'!F32</f>
        <v>-0.4732142857</v>
      </c>
      <c r="F51" s="74">
        <f>'Key metrics'!G32</f>
        <v>-0.05084745763</v>
      </c>
      <c r="G51" s="74">
        <f>'Key metrics'!H32</f>
        <v>0.07627071937</v>
      </c>
      <c r="H51" s="74">
        <f>'Key metrics'!I32</f>
        <v>0.07627071937</v>
      </c>
      <c r="I51" s="74">
        <f>'Key metrics'!J32</f>
        <v>0.002239148955</v>
      </c>
      <c r="J51" s="74">
        <f>'Key metrics'!K32</f>
        <v>-0.07385623113</v>
      </c>
      <c r="K51" s="74">
        <f>'Key metrics'!L32</f>
        <v>0.006015379787</v>
      </c>
      <c r="L51" s="74">
        <f>'Key metrics'!M32</f>
        <v>0.01738794727</v>
      </c>
    </row>
    <row r="52" ht="15.75" customHeight="1">
      <c r="A52" s="14" t="s">
        <v>461</v>
      </c>
      <c r="B52" s="15">
        <v>-1523.0</v>
      </c>
      <c r="C52" s="15">
        <v>-1754.0</v>
      </c>
      <c r="D52" s="15">
        <v>-1306.0</v>
      </c>
      <c r="E52" s="15">
        <v>-8376.0</v>
      </c>
      <c r="F52" s="15">
        <v>-30170.0</v>
      </c>
      <c r="G52" s="15"/>
      <c r="H52" s="15"/>
      <c r="I52" s="15"/>
      <c r="J52" s="15"/>
      <c r="K52" s="15"/>
      <c r="L52" s="15"/>
    </row>
    <row r="53" ht="15.75" customHeight="1">
      <c r="A53" s="14" t="s">
        <v>462</v>
      </c>
      <c r="B53" s="15">
        <v>-1523.0</v>
      </c>
      <c r="C53" s="15">
        <v>-1754.0</v>
      </c>
      <c r="D53" s="15">
        <v>-1306.0</v>
      </c>
      <c r="E53" s="15">
        <v>-8376.0</v>
      </c>
      <c r="F53" s="15">
        <v>-30170.0</v>
      </c>
      <c r="G53" s="15"/>
      <c r="H53" s="15"/>
      <c r="I53" s="15"/>
      <c r="J53" s="15"/>
      <c r="K53" s="15"/>
      <c r="L53" s="15"/>
    </row>
    <row r="54" ht="15.75" customHeight="1">
      <c r="A54" s="14" t="s">
        <v>463</v>
      </c>
      <c r="B54" s="15">
        <v>1.3403999E7</v>
      </c>
      <c r="C54" s="15">
        <v>2.0448571E7</v>
      </c>
      <c r="D54" s="15">
        <v>3.4463707E7</v>
      </c>
      <c r="E54" s="15">
        <v>2.8120229E7</v>
      </c>
      <c r="F54" s="15">
        <v>3.4271246E7</v>
      </c>
      <c r="G54" s="15"/>
      <c r="H54" s="15"/>
      <c r="I54" s="15"/>
      <c r="J54" s="15"/>
      <c r="K54" s="15"/>
      <c r="L54" s="15"/>
    </row>
    <row r="55" ht="15.75" customHeight="1">
      <c r="A55" s="14" t="s">
        <v>464</v>
      </c>
      <c r="B55" s="15">
        <v>-1.2504733E7</v>
      </c>
      <c r="C55" s="15">
        <v>-1.5570015E7</v>
      </c>
      <c r="D55" s="15">
        <v>-2.6931165E7</v>
      </c>
      <c r="E55" s="15">
        <v>-3.5740055E7</v>
      </c>
      <c r="F55" s="15">
        <v>-3.2551882E7</v>
      </c>
      <c r="G55" s="15"/>
      <c r="H55" s="15"/>
      <c r="I55" s="15"/>
      <c r="J55" s="15"/>
      <c r="K55" s="15"/>
      <c r="L55" s="15"/>
    </row>
    <row r="56" ht="15.75" customHeight="1">
      <c r="A56" s="16" t="s">
        <v>465</v>
      </c>
      <c r="B56" s="17">
        <v>-514371.0</v>
      </c>
      <c r="C56" s="17">
        <v>3037357.0</v>
      </c>
      <c r="D56" s="17">
        <v>5364662.0</v>
      </c>
      <c r="E56" s="17">
        <v>-9773308.0</v>
      </c>
      <c r="F56" s="17">
        <v>-1168384.0</v>
      </c>
      <c r="G56" s="17"/>
      <c r="H56" s="17"/>
      <c r="I56" s="17"/>
      <c r="J56" s="17"/>
      <c r="K56" s="17"/>
      <c r="L56" s="17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ht="15.75" customHeight="1">
      <c r="A58" s="16" t="s">
        <v>466</v>
      </c>
      <c r="B58" s="17">
        <v>-11649.0</v>
      </c>
      <c r="C58" s="17">
        <v>-109.0</v>
      </c>
      <c r="D58" s="17">
        <v>-59812.0</v>
      </c>
      <c r="E58" s="17">
        <v>-15424.0</v>
      </c>
      <c r="F58" s="17">
        <v>38642.0</v>
      </c>
      <c r="G58" s="17"/>
      <c r="H58" s="17"/>
      <c r="I58" s="17"/>
      <c r="J58" s="17"/>
      <c r="K58" s="17"/>
      <c r="L58" s="17"/>
    </row>
    <row r="59" ht="15.75" customHeight="1">
      <c r="A59" s="16" t="s">
        <v>467</v>
      </c>
      <c r="B59" s="17">
        <v>-472339.0</v>
      </c>
      <c r="C59" s="17">
        <v>1232803.0</v>
      </c>
      <c r="D59" s="17">
        <v>731654.0</v>
      </c>
      <c r="E59" s="17">
        <v>1022332.0</v>
      </c>
      <c r="F59" s="17">
        <v>1838980.0</v>
      </c>
      <c r="G59" s="17"/>
      <c r="H59" s="17"/>
      <c r="I59" s="17"/>
      <c r="J59" s="17"/>
      <c r="K59" s="17"/>
      <c r="L59" s="17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ht="15.75" customHeight="1">
      <c r="A61" s="16" t="s">
        <v>468</v>
      </c>
      <c r="B61" s="17">
        <v>3925727.0</v>
      </c>
      <c r="C61" s="17">
        <v>3453389.0</v>
      </c>
      <c r="D61" s="17">
        <v>4.4686191E7</v>
      </c>
      <c r="E61" s="17">
        <v>5417845.0</v>
      </c>
      <c r="F61" s="17">
        <v>6440177.0</v>
      </c>
      <c r="G61" s="17"/>
      <c r="H61" s="17"/>
      <c r="I61" s="17"/>
      <c r="J61" s="17"/>
      <c r="K61" s="17"/>
      <c r="L61" s="17"/>
    </row>
    <row r="62" ht="15.75" customHeight="1">
      <c r="A62" s="16" t="s">
        <v>469</v>
      </c>
      <c r="B62" s="17">
        <v>3453389.0</v>
      </c>
      <c r="C62" s="17">
        <v>4686191.0</v>
      </c>
      <c r="D62" s="17">
        <v>4.5417845E7</v>
      </c>
      <c r="E62" s="17">
        <v>6440177.0</v>
      </c>
      <c r="F62" s="17">
        <v>8279157.0</v>
      </c>
      <c r="G62" s="17"/>
      <c r="H62" s="17"/>
      <c r="I62" s="17"/>
      <c r="J62" s="17"/>
      <c r="K62" s="17"/>
      <c r="L62" s="17"/>
    </row>
    <row r="63" ht="15.75" customHeight="1">
      <c r="A63" s="16" t="s">
        <v>470</v>
      </c>
      <c r="B63" s="17">
        <v>338497.0</v>
      </c>
      <c r="C63" s="17">
        <v>401914.0</v>
      </c>
      <c r="D63" s="17">
        <v>451556.0</v>
      </c>
      <c r="E63" s="17">
        <v>635689.0</v>
      </c>
      <c r="F63" s="17">
        <v>832038.0</v>
      </c>
      <c r="G63" s="17"/>
      <c r="H63" s="17"/>
      <c r="I63" s="17"/>
      <c r="J63" s="17"/>
      <c r="K63" s="17"/>
      <c r="L63" s="17"/>
    </row>
    <row r="64" ht="15.75" customHeight="1">
      <c r="A64" s="16" t="s">
        <v>471</v>
      </c>
      <c r="B64" s="17">
        <v>638639.0</v>
      </c>
      <c r="C64" s="17">
        <v>778287.0</v>
      </c>
      <c r="D64" s="17">
        <v>1045035.0</v>
      </c>
      <c r="E64" s="17">
        <v>1221847.0</v>
      </c>
      <c r="F64" s="17">
        <v>971345.0</v>
      </c>
      <c r="G64" s="17"/>
      <c r="H64" s="17"/>
      <c r="I64" s="17"/>
      <c r="J64" s="17"/>
      <c r="K64" s="17"/>
      <c r="L64" s="17"/>
    </row>
    <row r="65" ht="15.75" customHeight="1">
      <c r="A65" s="16" t="s">
        <v>472</v>
      </c>
      <c r="B65" s="17" t="s">
        <v>27</v>
      </c>
      <c r="C65" s="17" t="s">
        <v>27</v>
      </c>
      <c r="D65" s="17" t="s">
        <v>27</v>
      </c>
      <c r="E65" s="17" t="s">
        <v>27</v>
      </c>
      <c r="F65" s="17" t="s">
        <v>27</v>
      </c>
      <c r="G65" s="17"/>
      <c r="H65" s="17"/>
      <c r="I65" s="17"/>
      <c r="J65" s="17"/>
      <c r="K65" s="17"/>
      <c r="L65" s="17"/>
    </row>
    <row r="66" ht="15.75" customHeight="1">
      <c r="A66" s="16" t="s">
        <v>473</v>
      </c>
      <c r="B66" s="17" t="s">
        <v>27</v>
      </c>
      <c r="C66" s="17" t="s">
        <v>27</v>
      </c>
      <c r="D66" s="17" t="s">
        <v>27</v>
      </c>
      <c r="E66" s="17" t="s">
        <v>27</v>
      </c>
      <c r="F66" s="17" t="s">
        <v>27</v>
      </c>
      <c r="G66" s="17"/>
      <c r="H66" s="17"/>
      <c r="I66" s="17"/>
      <c r="J66" s="17"/>
      <c r="K66" s="17"/>
      <c r="L66" s="17"/>
    </row>
    <row r="67" ht="15.75" customHeight="1">
      <c r="A67" s="16" t="s">
        <v>474</v>
      </c>
      <c r="B67" s="17" t="s">
        <v>27</v>
      </c>
      <c r="C67" s="17" t="s">
        <v>27</v>
      </c>
      <c r="D67" s="17" t="s">
        <v>27</v>
      </c>
      <c r="E67" s="17" t="s">
        <v>27</v>
      </c>
      <c r="F67" s="17" t="s">
        <v>27</v>
      </c>
      <c r="G67" s="17"/>
      <c r="H67" s="17"/>
      <c r="I67" s="17"/>
      <c r="J67" s="17"/>
      <c r="K67" s="17"/>
      <c r="L67" s="17"/>
    </row>
    <row r="68" ht="15.75" customHeight="1">
      <c r="A68" s="16" t="s">
        <v>475</v>
      </c>
      <c r="B68" s="17" t="s">
        <v>27</v>
      </c>
      <c r="C68" s="17" t="s">
        <v>27</v>
      </c>
      <c r="D68" s="17" t="s">
        <v>27</v>
      </c>
      <c r="E68" s="17" t="s">
        <v>27</v>
      </c>
      <c r="F68" s="17" t="s">
        <v>27</v>
      </c>
      <c r="G68" s="17"/>
      <c r="H68" s="17"/>
      <c r="I68" s="17"/>
      <c r="J68" s="17"/>
      <c r="K68" s="17"/>
      <c r="L68" s="17"/>
    </row>
    <row r="69" ht="15.75" customHeight="1">
      <c r="A69" s="16" t="s">
        <v>476</v>
      </c>
      <c r="B69" s="17" t="s">
        <v>27</v>
      </c>
      <c r="C69" s="17" t="s">
        <v>27</v>
      </c>
      <c r="D69" s="17" t="s">
        <v>27</v>
      </c>
      <c r="E69" s="17" t="s">
        <v>27</v>
      </c>
      <c r="F69" s="17" t="s">
        <v>27</v>
      </c>
      <c r="G69" s="17"/>
      <c r="H69" s="17"/>
      <c r="I69" s="17"/>
      <c r="J69" s="17"/>
      <c r="K69" s="17"/>
      <c r="L69" s="17"/>
    </row>
    <row r="70" ht="15.75" customHeight="1">
      <c r="A70" s="16" t="s">
        <v>477</v>
      </c>
      <c r="B70" s="17">
        <v>-605951.0</v>
      </c>
      <c r="C70" s="17">
        <v>1368495.0</v>
      </c>
      <c r="D70" s="17">
        <v>622812.0</v>
      </c>
      <c r="E70" s="17">
        <v>-1780943.0</v>
      </c>
      <c r="F70" s="17">
        <v>678455.0</v>
      </c>
      <c r="G70" s="17"/>
      <c r="H70" s="17"/>
      <c r="I70" s="17"/>
      <c r="J70" s="17"/>
      <c r="K70" s="17"/>
      <c r="L70" s="17"/>
    </row>
    <row r="71" ht="15.75" customHeight="1">
      <c r="A71" s="16" t="s">
        <v>478</v>
      </c>
      <c r="B71" s="17" t="s">
        <v>27</v>
      </c>
      <c r="C71" s="17" t="s">
        <v>27</v>
      </c>
      <c r="D71" s="17" t="s">
        <v>27</v>
      </c>
      <c r="E71" s="17" t="s">
        <v>27</v>
      </c>
      <c r="F71" s="17" t="s">
        <v>27</v>
      </c>
      <c r="G71" s="17"/>
      <c r="H71" s="17"/>
      <c r="I71" s="17"/>
      <c r="J71" s="17"/>
      <c r="K71" s="17"/>
      <c r="L71" s="17"/>
    </row>
    <row r="72" ht="15.75" customHeight="1">
      <c r="A72" s="16" t="s">
        <v>479</v>
      </c>
      <c r="B72" s="17" t="s">
        <v>27</v>
      </c>
      <c r="C72" s="17" t="s">
        <v>27</v>
      </c>
      <c r="D72" s="17" t="s">
        <v>27</v>
      </c>
      <c r="E72" s="17" t="s">
        <v>27</v>
      </c>
      <c r="F72" s="17" t="s">
        <v>27</v>
      </c>
      <c r="G72" s="17"/>
      <c r="H72" s="17"/>
      <c r="I72" s="17"/>
      <c r="J72" s="17"/>
      <c r="K72" s="17"/>
      <c r="L72" s="17"/>
    </row>
    <row r="73" ht="15.75" customHeight="1">
      <c r="A73" s="16" t="s">
        <v>480</v>
      </c>
      <c r="B73" s="17" t="s">
        <v>27</v>
      </c>
      <c r="C73" s="17" t="s">
        <v>27</v>
      </c>
      <c r="D73" s="17" t="s">
        <v>27</v>
      </c>
      <c r="E73" s="17" t="s">
        <v>27</v>
      </c>
      <c r="F73" s="17" t="s">
        <v>27</v>
      </c>
      <c r="G73" s="17"/>
      <c r="H73" s="17"/>
      <c r="I73" s="17"/>
      <c r="J73" s="17"/>
      <c r="K73" s="17"/>
      <c r="L73" s="17"/>
    </row>
    <row r="74" ht="15.75" customHeight="1">
      <c r="A74" s="75"/>
    </row>
    <row r="75" ht="15.75" customHeight="1">
      <c r="A75" s="2" t="s">
        <v>481</v>
      </c>
      <c r="B75" s="17">
        <v>665680.0</v>
      </c>
      <c r="C75" s="17">
        <v>3322034.0</v>
      </c>
      <c r="D75" s="17">
        <v>2928692.0</v>
      </c>
      <c r="E75" s="17">
        <v>1838589.0</v>
      </c>
      <c r="F75" s="17">
        <v>5538844.0</v>
      </c>
      <c r="G75" s="17"/>
      <c r="H75" s="17"/>
      <c r="I75" s="17"/>
      <c r="J75" s="17"/>
      <c r="K75" s="17"/>
      <c r="L75" s="17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3.86"/>
    <col customWidth="1" min="3" max="3" width="15.71"/>
    <col customWidth="1" min="4" max="7" width="17.29"/>
    <col customWidth="1" min="8" max="26" width="8.86"/>
  </cols>
  <sheetData>
    <row r="1">
      <c r="A1" s="1" t="s">
        <v>482</v>
      </c>
    </row>
    <row r="3">
      <c r="A3" s="2" t="s">
        <v>483</v>
      </c>
    </row>
    <row r="4">
      <c r="A4" s="2" t="s">
        <v>2</v>
      </c>
    </row>
    <row r="5">
      <c r="A5" s="76"/>
      <c r="B5" s="76" t="s">
        <v>484</v>
      </c>
      <c r="C5" s="6">
        <v>2019.0</v>
      </c>
      <c r="D5" s="6">
        <v>2020.0</v>
      </c>
      <c r="E5" s="6">
        <v>2021.0</v>
      </c>
      <c r="F5" s="6">
        <v>2022.0</v>
      </c>
      <c r="G5" s="6">
        <v>2023.0</v>
      </c>
      <c r="H5" s="77" t="str">
        <f>'Revenue breakdown'!G2</f>
        <v>2024F</v>
      </c>
      <c r="I5" s="77" t="str">
        <f>'Revenue breakdown'!H2</f>
        <v>2025F</v>
      </c>
      <c r="J5" s="77" t="str">
        <f>'Revenue breakdown'!I2</f>
        <v>2026F</v>
      </c>
      <c r="K5" s="77" t="str">
        <f>'Revenue breakdown'!J2</f>
        <v>2027F</v>
      </c>
      <c r="L5" s="77" t="str">
        <f>'Revenue breakdown'!K2</f>
        <v>2028F</v>
      </c>
      <c r="M5" s="77" t="str">
        <f>'Revenue breakdown'!L2</f>
        <v>2029F</v>
      </c>
    </row>
    <row r="6">
      <c r="A6" s="7" t="s">
        <v>4</v>
      </c>
      <c r="B6" s="10">
        <v>84.0</v>
      </c>
      <c r="C6" s="8">
        <v>67.0</v>
      </c>
      <c r="D6" s="9">
        <v>93.0</v>
      </c>
      <c r="E6" s="9">
        <v>93.0</v>
      </c>
      <c r="F6" s="10">
        <v>88.0</v>
      </c>
      <c r="G6" s="9">
        <v>96.0</v>
      </c>
    </row>
    <row r="7">
      <c r="A7" s="78" t="s">
        <v>485</v>
      </c>
      <c r="B7" s="11"/>
      <c r="C7" s="79"/>
      <c r="D7" s="79"/>
      <c r="E7" s="79"/>
      <c r="F7" s="79"/>
      <c r="G7" s="79"/>
    </row>
    <row r="8">
      <c r="A8" s="80" t="s">
        <v>486</v>
      </c>
      <c r="B8" s="81" t="s">
        <v>487</v>
      </c>
      <c r="C8" s="82">
        <v>0.386</v>
      </c>
      <c r="D8" s="82">
        <v>0.396</v>
      </c>
      <c r="E8" s="82">
        <v>0.382</v>
      </c>
      <c r="F8" s="82">
        <v>0.39</v>
      </c>
      <c r="G8" s="82">
        <v>0.386</v>
      </c>
    </row>
    <row r="9">
      <c r="A9" s="80" t="s">
        <v>488</v>
      </c>
      <c r="B9" s="81" t="s">
        <v>489</v>
      </c>
      <c r="C9" s="82">
        <v>0.197</v>
      </c>
      <c r="D9" s="82">
        <v>0.205</v>
      </c>
      <c r="E9" s="82">
        <v>0.198</v>
      </c>
      <c r="F9" s="82">
        <v>0.199</v>
      </c>
      <c r="G9" s="82">
        <v>0.201</v>
      </c>
    </row>
    <row r="10">
      <c r="A10" s="80" t="s">
        <v>490</v>
      </c>
      <c r="B10" s="81" t="s">
        <v>491</v>
      </c>
      <c r="C10" s="82">
        <v>0.166</v>
      </c>
      <c r="D10" s="82">
        <v>0.174</v>
      </c>
      <c r="E10" s="82">
        <v>0.175</v>
      </c>
      <c r="F10" s="82">
        <v>0.172</v>
      </c>
      <c r="G10" s="82">
        <v>0.173</v>
      </c>
    </row>
    <row r="11">
      <c r="A11" s="80" t="s">
        <v>492</v>
      </c>
      <c r="B11" s="81" t="s">
        <v>493</v>
      </c>
      <c r="C11" s="82">
        <v>0.168</v>
      </c>
      <c r="D11" s="82">
        <v>0.176</v>
      </c>
      <c r="E11" s="82">
        <v>0.178</v>
      </c>
      <c r="F11" s="82">
        <v>0.174</v>
      </c>
      <c r="G11" s="82">
        <v>0.175</v>
      </c>
    </row>
    <row r="12">
      <c r="A12" s="80" t="s">
        <v>494</v>
      </c>
      <c r="B12" s="81" t="s">
        <v>495</v>
      </c>
      <c r="C12" s="82">
        <v>0.161</v>
      </c>
      <c r="D12" s="82">
        <v>0.16</v>
      </c>
      <c r="E12" s="82">
        <v>0.156</v>
      </c>
      <c r="F12" s="82">
        <v>0.153</v>
      </c>
      <c r="G12" s="82">
        <v>0.154</v>
      </c>
    </row>
    <row r="13">
      <c r="A13" s="80" t="s">
        <v>496</v>
      </c>
      <c r="B13" s="81" t="s">
        <v>497</v>
      </c>
      <c r="C13" s="82">
        <v>0.141</v>
      </c>
      <c r="D13" s="82">
        <v>0.148</v>
      </c>
      <c r="E13" s="82">
        <v>0.15</v>
      </c>
      <c r="F13" s="82">
        <v>0.147</v>
      </c>
      <c r="G13" s="82">
        <v>0.148</v>
      </c>
      <c r="H13" s="83">
        <f t="shared" ref="H13:M13" si="1">G13*(1+H14)</f>
        <v>0.1498485801</v>
      </c>
      <c r="I13" s="83">
        <f t="shared" si="1"/>
        <v>0.1517202497</v>
      </c>
      <c r="J13" s="83">
        <f t="shared" si="1"/>
        <v>0.1536152973</v>
      </c>
      <c r="K13" s="83">
        <f t="shared" si="1"/>
        <v>0.1555340147</v>
      </c>
      <c r="L13" s="83">
        <f t="shared" si="1"/>
        <v>0.1574766978</v>
      </c>
      <c r="M13" s="83">
        <f t="shared" si="1"/>
        <v>0.1594436457</v>
      </c>
    </row>
    <row r="14">
      <c r="A14" s="78" t="s">
        <v>498</v>
      </c>
      <c r="B14" s="11"/>
      <c r="C14" s="79"/>
      <c r="D14" s="84">
        <f t="shared" ref="D14:G14" si="2">D13/C13-1</f>
        <v>0.04964539007</v>
      </c>
      <c r="E14" s="84">
        <f t="shared" si="2"/>
        <v>0.01351351351</v>
      </c>
      <c r="F14" s="84">
        <f t="shared" si="2"/>
        <v>-0.02</v>
      </c>
      <c r="G14" s="84">
        <f t="shared" si="2"/>
        <v>0.006802721088</v>
      </c>
      <c r="H14" s="85">
        <f>AVERAGE(D14:G14)</f>
        <v>0.01249040617</v>
      </c>
      <c r="I14" s="85">
        <f t="shared" ref="I14:M14" si="3">H14</f>
        <v>0.01249040617</v>
      </c>
      <c r="J14" s="85">
        <f t="shared" si="3"/>
        <v>0.01249040617</v>
      </c>
      <c r="K14" s="85">
        <f t="shared" si="3"/>
        <v>0.01249040617</v>
      </c>
      <c r="L14" s="85">
        <f t="shared" si="3"/>
        <v>0.01249040617</v>
      </c>
      <c r="M14" s="85">
        <f t="shared" si="3"/>
        <v>0.01249040617</v>
      </c>
    </row>
    <row r="15">
      <c r="A15" s="80" t="s">
        <v>499</v>
      </c>
      <c r="B15" s="81" t="s">
        <v>500</v>
      </c>
      <c r="C15" s="86">
        <v>0.88</v>
      </c>
      <c r="D15" s="86">
        <v>0.79</v>
      </c>
      <c r="E15" s="86">
        <v>0.75</v>
      </c>
      <c r="F15" s="86">
        <v>0.84</v>
      </c>
      <c r="G15" s="86">
        <v>0.94</v>
      </c>
    </row>
    <row r="16">
      <c r="A16" s="80" t="s">
        <v>501</v>
      </c>
      <c r="B16" s="81" t="s">
        <v>493</v>
      </c>
      <c r="C16" s="82">
        <v>0.168</v>
      </c>
      <c r="D16" s="82">
        <v>0.176</v>
      </c>
      <c r="E16" s="82">
        <v>0.178</v>
      </c>
      <c r="F16" s="82">
        <v>0.174</v>
      </c>
      <c r="G16" s="82">
        <v>0.175</v>
      </c>
    </row>
    <row r="17">
      <c r="A17" s="80" t="s">
        <v>502</v>
      </c>
      <c r="B17" s="81" t="s">
        <v>503</v>
      </c>
      <c r="C17" s="82">
        <v>0.148</v>
      </c>
      <c r="D17" s="82">
        <v>0.14</v>
      </c>
      <c r="E17" s="82">
        <v>0.133</v>
      </c>
      <c r="F17" s="82">
        <v>0.145</v>
      </c>
      <c r="G17" s="82">
        <v>0.164</v>
      </c>
    </row>
    <row r="18">
      <c r="A18" s="80" t="s">
        <v>504</v>
      </c>
      <c r="B18" s="81" t="s">
        <v>505</v>
      </c>
      <c r="C18" s="86">
        <v>2.39</v>
      </c>
      <c r="D18" s="86">
        <v>2.65</v>
      </c>
      <c r="E18" s="86">
        <v>2.99</v>
      </c>
      <c r="F18" s="86">
        <v>2.45</v>
      </c>
      <c r="G18" s="86">
        <v>2.41</v>
      </c>
    </row>
    <row r="19">
      <c r="A19" s="80" t="s">
        <v>506</v>
      </c>
      <c r="B19" s="81" t="s">
        <v>507</v>
      </c>
      <c r="C19" s="82">
        <v>0.353</v>
      </c>
      <c r="D19" s="82">
        <v>0.354</v>
      </c>
      <c r="E19" s="82">
        <v>0.376</v>
      </c>
      <c r="F19" s="82">
        <v>0.393</v>
      </c>
      <c r="G19" s="82">
        <v>0.4</v>
      </c>
    </row>
    <row r="20">
      <c r="A20" s="80" t="s">
        <v>508</v>
      </c>
      <c r="B20" s="81" t="s">
        <v>509</v>
      </c>
      <c r="C20" s="86">
        <v>0.67</v>
      </c>
      <c r="D20" s="86">
        <v>0.67</v>
      </c>
      <c r="E20" s="86">
        <v>0.68</v>
      </c>
      <c r="F20" s="86">
        <v>0.69</v>
      </c>
      <c r="G20" s="86">
        <v>0.7</v>
      </c>
    </row>
    <row r="21" ht="15.75" customHeight="1">
      <c r="A21" s="80" t="s">
        <v>510</v>
      </c>
      <c r="B21" s="81" t="s">
        <v>511</v>
      </c>
      <c r="C21" s="82">
        <v>0.237</v>
      </c>
      <c r="D21" s="82">
        <v>0.238</v>
      </c>
      <c r="E21" s="82">
        <v>0.258</v>
      </c>
      <c r="F21" s="82">
        <v>0.272</v>
      </c>
      <c r="G21" s="82">
        <v>0.281</v>
      </c>
    </row>
    <row r="22" ht="15.75" customHeight="1">
      <c r="A22" s="80" t="s">
        <v>512</v>
      </c>
      <c r="B22" s="81" t="s">
        <v>513</v>
      </c>
      <c r="C22" s="86">
        <v>0.55</v>
      </c>
      <c r="D22" s="86">
        <v>0.55</v>
      </c>
      <c r="E22" s="86">
        <v>0.77</v>
      </c>
      <c r="F22" s="86">
        <v>0.59</v>
      </c>
      <c r="G22" s="86">
        <v>0.6</v>
      </c>
    </row>
    <row r="23" ht="15.75" customHeight="1">
      <c r="A23" s="80" t="s">
        <v>514</v>
      </c>
      <c r="B23" s="81" t="s">
        <v>515</v>
      </c>
      <c r="C23" s="82">
        <v>0.118</v>
      </c>
      <c r="D23" s="82">
        <v>0.119</v>
      </c>
      <c r="E23" s="82">
        <v>0.18</v>
      </c>
      <c r="F23" s="82">
        <v>0.146</v>
      </c>
      <c r="G23" s="82">
        <v>0.154</v>
      </c>
    </row>
    <row r="24" ht="15.75" customHeight="1">
      <c r="A24" s="78" t="s">
        <v>516</v>
      </c>
      <c r="B24" s="11"/>
      <c r="C24" s="79"/>
      <c r="D24" s="79"/>
      <c r="E24" s="79"/>
      <c r="F24" s="79"/>
      <c r="G24" s="79"/>
    </row>
    <row r="25" ht="15.75" customHeight="1">
      <c r="A25" s="80" t="s">
        <v>517</v>
      </c>
      <c r="B25" s="81" t="s">
        <v>518</v>
      </c>
      <c r="C25" s="86">
        <v>1.1</v>
      </c>
      <c r="D25" s="86">
        <v>1.07</v>
      </c>
      <c r="E25" s="86">
        <v>1.13</v>
      </c>
      <c r="F25" s="86">
        <v>1.18</v>
      </c>
      <c r="G25" s="86">
        <v>1.18</v>
      </c>
    </row>
    <row r="26" ht="15.75" customHeight="1">
      <c r="A26" s="80" t="s">
        <v>519</v>
      </c>
      <c r="B26" s="81" t="s">
        <v>520</v>
      </c>
      <c r="C26" s="86">
        <v>1.18</v>
      </c>
      <c r="D26" s="86">
        <v>1.13</v>
      </c>
      <c r="E26" s="86">
        <v>1.18</v>
      </c>
      <c r="F26" s="86">
        <v>1.26</v>
      </c>
      <c r="G26" s="86">
        <v>1.24</v>
      </c>
    </row>
    <row r="27" ht="15.75" customHeight="1">
      <c r="A27" s="80" t="s">
        <v>521</v>
      </c>
      <c r="B27" s="81" t="s">
        <v>522</v>
      </c>
      <c r="C27" s="87">
        <v>11.4</v>
      </c>
      <c r="D27" s="87">
        <v>12.1</v>
      </c>
      <c r="E27" s="87">
        <v>11.2</v>
      </c>
      <c r="F27" s="87">
        <v>10.8</v>
      </c>
      <c r="G27" s="87">
        <v>10.2</v>
      </c>
    </row>
    <row r="28" ht="15.75" customHeight="1">
      <c r="A28" s="80" t="s">
        <v>523</v>
      </c>
      <c r="B28" s="88" t="s">
        <v>524</v>
      </c>
      <c r="C28" s="87">
        <v>58.3</v>
      </c>
      <c r="D28" s="87">
        <v>48.4</v>
      </c>
      <c r="E28" s="87">
        <v>42.1</v>
      </c>
      <c r="F28" s="87">
        <v>46.9</v>
      </c>
      <c r="G28" s="87">
        <v>51.9</v>
      </c>
    </row>
    <row r="29" ht="15.75" customHeight="1">
      <c r="A29" s="78" t="s">
        <v>525</v>
      </c>
      <c r="B29" s="11"/>
      <c r="C29" s="79"/>
      <c r="D29" s="79"/>
      <c r="E29" s="79"/>
      <c r="F29" s="79"/>
      <c r="G29" s="79"/>
    </row>
    <row r="30" ht="15.75" customHeight="1">
      <c r="A30" s="80" t="s">
        <v>526</v>
      </c>
      <c r="B30" s="81" t="s">
        <v>505</v>
      </c>
      <c r="C30" s="86">
        <v>2.39</v>
      </c>
      <c r="D30" s="86">
        <v>2.65</v>
      </c>
      <c r="E30" s="86">
        <v>2.99</v>
      </c>
      <c r="F30" s="86">
        <v>2.45</v>
      </c>
      <c r="G30" s="86">
        <v>2.41</v>
      </c>
    </row>
    <row r="31" ht="15.75" customHeight="1">
      <c r="A31" s="80" t="s">
        <v>527</v>
      </c>
      <c r="B31" s="81" t="s">
        <v>528</v>
      </c>
      <c r="C31" s="86">
        <v>0.56</v>
      </c>
      <c r="D31" s="86">
        <v>0.81</v>
      </c>
      <c r="E31" s="86">
        <v>1.12</v>
      </c>
      <c r="F31" s="86">
        <v>0.59</v>
      </c>
      <c r="G31" s="86">
        <v>0.56</v>
      </c>
    </row>
    <row r="32" ht="15.75" customHeight="1">
      <c r="A32" s="80"/>
      <c r="B32" s="81"/>
      <c r="C32" s="86"/>
      <c r="D32" s="86">
        <f t="shared" ref="D32:G32" si="4">D31/C31-1</f>
        <v>0.4464285714</v>
      </c>
      <c r="E32" s="86">
        <f t="shared" si="4"/>
        <v>0.3827160494</v>
      </c>
      <c r="F32" s="86">
        <f t="shared" si="4"/>
        <v>-0.4732142857</v>
      </c>
      <c r="G32" s="86">
        <f t="shared" si="4"/>
        <v>-0.05084745763</v>
      </c>
      <c r="H32" s="89">
        <f t="shared" ref="H32:M32" si="5">AVERAGE(C32:G32)</f>
        <v>0.07627071937</v>
      </c>
      <c r="I32" s="89">
        <f t="shared" si="5"/>
        <v>0.07627071937</v>
      </c>
      <c r="J32" s="89">
        <f t="shared" si="5"/>
        <v>0.002239148955</v>
      </c>
      <c r="K32" s="89">
        <f t="shared" si="5"/>
        <v>-0.07385623113</v>
      </c>
      <c r="L32" s="89">
        <f t="shared" si="5"/>
        <v>0.006015379787</v>
      </c>
      <c r="M32" s="89">
        <f t="shared" si="5"/>
        <v>0.01738794727</v>
      </c>
    </row>
    <row r="33" ht="15.75" customHeight="1">
      <c r="A33" s="80" t="s">
        <v>529</v>
      </c>
      <c r="B33" s="81" t="s">
        <v>530</v>
      </c>
      <c r="C33" s="82">
        <v>0.014</v>
      </c>
      <c r="D33" s="82">
        <v>0.022</v>
      </c>
      <c r="E33" s="82">
        <v>0.055</v>
      </c>
      <c r="F33" s="82">
        <v>0.039</v>
      </c>
      <c r="G33" s="82">
        <v>0.005</v>
      </c>
    </row>
    <row r="34" ht="15.75" customHeight="1">
      <c r="A34" s="80" t="s">
        <v>531</v>
      </c>
      <c r="B34" s="88" t="s">
        <v>532</v>
      </c>
      <c r="C34" s="86" t="s">
        <v>533</v>
      </c>
      <c r="D34" s="86" t="s">
        <v>533</v>
      </c>
      <c r="E34" s="86" t="s">
        <v>533</v>
      </c>
      <c r="F34" s="86" t="s">
        <v>533</v>
      </c>
      <c r="G34" s="86" t="s">
        <v>533</v>
      </c>
    </row>
    <row r="35" ht="15.75" customHeight="1">
      <c r="A35" s="78" t="s">
        <v>534</v>
      </c>
      <c r="B35" s="11"/>
      <c r="C35" s="79"/>
      <c r="D35" s="79"/>
      <c r="E35" s="79"/>
      <c r="F35" s="79"/>
      <c r="G35" s="79"/>
    </row>
    <row r="36" ht="15.75" customHeight="1">
      <c r="A36" s="80" t="s">
        <v>535</v>
      </c>
      <c r="B36" s="81" t="s">
        <v>536</v>
      </c>
      <c r="C36" s="87">
        <v>4.3</v>
      </c>
      <c r="D36" s="87">
        <v>4.7</v>
      </c>
      <c r="E36" s="87">
        <v>5.5</v>
      </c>
      <c r="F36" s="87">
        <v>5.7</v>
      </c>
      <c r="G36" s="87">
        <v>5.7</v>
      </c>
    </row>
    <row r="37" ht="15.75" customHeight="1">
      <c r="A37" s="80" t="s">
        <v>537</v>
      </c>
      <c r="B37" s="81" t="s">
        <v>538</v>
      </c>
      <c r="C37" s="87">
        <v>85.5</v>
      </c>
      <c r="D37" s="87">
        <v>77.8</v>
      </c>
      <c r="E37" s="87">
        <v>66.2</v>
      </c>
      <c r="F37" s="87">
        <v>64.7</v>
      </c>
      <c r="G37" s="87">
        <v>64.6</v>
      </c>
    </row>
    <row r="38" ht="15.75" customHeight="1">
      <c r="A38" s="80" t="s">
        <v>539</v>
      </c>
      <c r="B38" s="81" t="s">
        <v>540</v>
      </c>
      <c r="C38" s="87">
        <v>13.0</v>
      </c>
      <c r="D38" s="87">
        <v>14.0</v>
      </c>
      <c r="E38" s="87">
        <v>15.7</v>
      </c>
      <c r="F38" s="87">
        <v>15.5</v>
      </c>
      <c r="G38" s="87">
        <v>18.1</v>
      </c>
    </row>
    <row r="39" ht="15.75" customHeight="1">
      <c r="A39" s="80" t="s">
        <v>541</v>
      </c>
      <c r="B39" s="81" t="s">
        <v>542</v>
      </c>
      <c r="C39" s="87">
        <v>28.2</v>
      </c>
      <c r="D39" s="87">
        <v>26.1</v>
      </c>
      <c r="E39" s="87">
        <v>23.2</v>
      </c>
      <c r="F39" s="87">
        <v>23.7</v>
      </c>
      <c r="G39" s="87">
        <v>20.2</v>
      </c>
    </row>
    <row r="40" ht="15.75" customHeight="1">
      <c r="A40" s="80" t="s">
        <v>543</v>
      </c>
      <c r="B40" s="81" t="s">
        <v>544</v>
      </c>
      <c r="C40" s="87">
        <v>55.4</v>
      </c>
      <c r="D40" s="87">
        <v>55.5</v>
      </c>
      <c r="E40" s="87">
        <v>47.3</v>
      </c>
      <c r="F40" s="87">
        <v>41.4</v>
      </c>
      <c r="G40" s="87">
        <v>32.9</v>
      </c>
    </row>
    <row r="41" ht="15.75" customHeight="1">
      <c r="A41" s="80" t="s">
        <v>545</v>
      </c>
      <c r="B41" s="81" t="s">
        <v>546</v>
      </c>
      <c r="C41" s="86">
        <v>3.87</v>
      </c>
      <c r="D41" s="86">
        <v>3.4</v>
      </c>
      <c r="E41" s="86">
        <v>3.54</v>
      </c>
      <c r="F41" s="86">
        <v>3.94</v>
      </c>
      <c r="G41" s="86">
        <v>4.13</v>
      </c>
    </row>
    <row r="42" ht="15.75" customHeight="1">
      <c r="A42" s="80" t="s">
        <v>547</v>
      </c>
      <c r="B42" s="81" t="s">
        <v>548</v>
      </c>
      <c r="C42" s="82">
        <v>-0.069</v>
      </c>
      <c r="D42" s="82">
        <v>-0.026</v>
      </c>
      <c r="E42" s="82">
        <v>0.019</v>
      </c>
      <c r="F42" s="82">
        <v>0.018</v>
      </c>
      <c r="G42" s="82">
        <v>-0.006</v>
      </c>
    </row>
    <row r="43" ht="15.75" customHeight="1">
      <c r="A43" s="80" t="s">
        <v>549</v>
      </c>
      <c r="B43" s="81" t="s">
        <v>550</v>
      </c>
      <c r="C43" s="82">
        <v>0.055</v>
      </c>
      <c r="D43" s="82">
        <v>0.102</v>
      </c>
      <c r="E43" s="82">
        <v>0.078</v>
      </c>
      <c r="F43" s="82">
        <v>0.08</v>
      </c>
      <c r="G43" s="82">
        <v>0.093</v>
      </c>
    </row>
    <row r="44" ht="15.75" customHeight="1">
      <c r="A44" s="80" t="s">
        <v>551</v>
      </c>
      <c r="B44" s="81" t="s">
        <v>552</v>
      </c>
      <c r="C44" s="82">
        <v>0.285</v>
      </c>
      <c r="D44" s="82">
        <v>0.286</v>
      </c>
      <c r="E44" s="82">
        <v>0.289</v>
      </c>
      <c r="F44" s="82">
        <v>0.3</v>
      </c>
      <c r="G44" s="82">
        <v>0.321</v>
      </c>
    </row>
    <row r="45" ht="15.75" customHeight="1">
      <c r="A45" s="80" t="s">
        <v>553</v>
      </c>
      <c r="B45" s="81" t="s">
        <v>552</v>
      </c>
      <c r="C45" s="87" t="s">
        <v>554</v>
      </c>
      <c r="D45" s="87" t="s">
        <v>555</v>
      </c>
      <c r="E45" s="87" t="s">
        <v>556</v>
      </c>
      <c r="F45" s="87" t="s">
        <v>557</v>
      </c>
      <c r="G45" s="87" t="s">
        <v>558</v>
      </c>
    </row>
    <row r="46" ht="15.75" customHeight="1"/>
    <row r="47" ht="15.75" customHeight="1">
      <c r="A47" s="90" t="s">
        <v>559</v>
      </c>
      <c r="C47" s="42">
        <f>ABS('FPT Corp | Balance Sheet '!C33-'FPT Corp | Balance Sheet '!B33)</f>
        <v>720136</v>
      </c>
      <c r="D47" s="42">
        <f>ABS('FPT Corp | Balance Sheet '!D33-'FPT Corp | Balance Sheet '!C33)</f>
        <v>1093905</v>
      </c>
      <c r="E47" s="42">
        <f>ABS('FPT Corp | Balance Sheet '!D33-'FPT Corp | Balance Sheet '!C33)</f>
        <v>1093905</v>
      </c>
      <c r="F47" s="42">
        <f>ABS('FPT Corp | Balance Sheet '!E33-'FPT Corp | Balance Sheet '!D33)</f>
        <v>1493514</v>
      </c>
      <c r="G47" s="42">
        <f>ABS('FPT Corp | Balance Sheet '!F33-'FPT Corp | Balance Sheet '!E33)</f>
        <v>1594292</v>
      </c>
    </row>
    <row r="48" ht="15.75" customHeight="1">
      <c r="C48" s="91">
        <f>C47/'FPT Corp | Income Statement '!D7</f>
        <v>0.0241410097</v>
      </c>
      <c r="D48" s="91">
        <f>D47/'FPT Corp | Income Statement '!E7</f>
        <v>0.03067832211</v>
      </c>
      <c r="E48" s="91">
        <f>E47/'FPT Corp | Income Statement '!F7</f>
        <v>0.0248560948</v>
      </c>
      <c r="F48" s="91">
        <f>F47/'FPT Corp | Income Statement '!G7</f>
        <v>0.0283841425</v>
      </c>
      <c r="G48" s="91">
        <f>G47/'FPT Corp | Income Statement '!H7</f>
        <v>0.02642998607</v>
      </c>
      <c r="H48" s="91">
        <f>AVERAGE(C48:G48)</f>
        <v>0.02689791104</v>
      </c>
      <c r="I48" s="91">
        <f t="shared" ref="I48:M48" si="6">H48</f>
        <v>0.02689791104</v>
      </c>
      <c r="J48" s="91">
        <f t="shared" si="6"/>
        <v>0.02689791104</v>
      </c>
      <c r="K48" s="91">
        <f t="shared" si="6"/>
        <v>0.02689791104</v>
      </c>
      <c r="L48" s="91">
        <f t="shared" si="6"/>
        <v>0.02689791104</v>
      </c>
      <c r="M48" s="91">
        <f t="shared" si="6"/>
        <v>0.02689791104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29"/>
    <col customWidth="1" min="2" max="2" width="13.71"/>
    <col customWidth="1" min="3" max="3" width="15.71"/>
    <col customWidth="1" min="4" max="8" width="18.71"/>
    <col customWidth="1" min="9" max="13" width="10.86"/>
    <col customWidth="1" min="14" max="26" width="10.71"/>
  </cols>
  <sheetData>
    <row r="1">
      <c r="A1" s="92" t="s">
        <v>560</v>
      </c>
      <c r="B1" s="93" t="str">
        <f>'Revenue breakdown'!G2</f>
        <v>2024F</v>
      </c>
      <c r="C1" s="93" t="str">
        <f>'Revenue breakdown'!H2</f>
        <v>2025F</v>
      </c>
      <c r="D1" s="93" t="str">
        <f>'Revenue breakdown'!I2</f>
        <v>2026F</v>
      </c>
      <c r="E1" s="93" t="str">
        <f>'Revenue breakdown'!J2</f>
        <v>2027F</v>
      </c>
      <c r="F1" s="93" t="str">
        <f>'Revenue breakdown'!K2</f>
        <v>2028F</v>
      </c>
      <c r="G1" s="93" t="str">
        <f>'Revenue breakdown'!L2</f>
        <v>2029F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95" t="s">
        <v>561</v>
      </c>
      <c r="B2" s="96"/>
      <c r="C2" s="96"/>
      <c r="D2" s="96"/>
      <c r="E2" s="96"/>
      <c r="F2" s="96"/>
      <c r="G2" s="96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97" t="s">
        <v>266</v>
      </c>
      <c r="B3" s="98">
        <f>'Key metrics'!H13*'Revenue breakdown'!G3</f>
        <v>9039066.151</v>
      </c>
      <c r="C3" s="98">
        <f>'Key metrics'!I13*'Revenue breakdown'!H3</f>
        <v>11111155.9</v>
      </c>
      <c r="D3" s="98">
        <f>'Key metrics'!J13*'Revenue breakdown'!I3</f>
        <v>13515098.51</v>
      </c>
      <c r="E3" s="98">
        <f>'Key metrics'!K13*'Revenue breakdown'!J3</f>
        <v>16381583.04</v>
      </c>
      <c r="F3" s="98">
        <f>'Key metrics'!L13*'Revenue breakdown'!K3</f>
        <v>19870043.05</v>
      </c>
      <c r="G3" s="98">
        <f>'Key metrics'!M13*'Revenue breakdown'!L3</f>
        <v>24117931.94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97" t="s">
        <v>562</v>
      </c>
      <c r="B4" s="98">
        <f>'Revenue breakdown'!G3*'Key metrics'!H48</f>
        <v>1622517.858</v>
      </c>
      <c r="C4" s="98">
        <f>'Revenue breakdown'!H3*'Key metrics'!I48</f>
        <v>1969854.936</v>
      </c>
      <c r="D4" s="98">
        <f>'Revenue breakdown'!I3*'Key metrics'!J48</f>
        <v>2366482.529</v>
      </c>
      <c r="E4" s="98">
        <f>'Revenue breakdown'!J3*'Key metrics'!K48</f>
        <v>2833016.07</v>
      </c>
      <c r="F4" s="98">
        <f>'Revenue breakdown'!K3*'Key metrics'!L48</f>
        <v>3393915.785</v>
      </c>
      <c r="G4" s="98">
        <f>'Revenue breakdown'!L3*'Key metrics'!M48</f>
        <v>4068660.027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>
      <c r="A5" s="97" t="s">
        <v>563</v>
      </c>
      <c r="B5" s="98">
        <f>'FPT Corp | Cash Flow '!G25</f>
        <v>-2605512.659</v>
      </c>
      <c r="C5" s="98">
        <f>'FPT Corp | Cash Flow '!H25</f>
        <v>-3255914.536</v>
      </c>
      <c r="D5" s="98">
        <f>'FPT Corp | Cash Flow '!I25</f>
        <v>-3172483.413</v>
      </c>
      <c r="E5" s="98">
        <f>'FPT Corp | Cash Flow '!J25</f>
        <v>-2982576.118</v>
      </c>
      <c r="F5" s="98">
        <f>'FPT Corp | Cash Flow '!K25</f>
        <v>-2865528.336</v>
      </c>
      <c r="G5" s="98">
        <f>'FPT Corp | Cash Flow '!L25</f>
        <v>-3100526.482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A6" s="97" t="s">
        <v>564</v>
      </c>
      <c r="B6" s="99">
        <f>-'FPT Corp | Balance Sheet '!G63</f>
        <v>-1592290.979</v>
      </c>
      <c r="C6" s="99">
        <f>-'FPT Corp | Balance Sheet '!H63</f>
        <v>-2669136.328</v>
      </c>
      <c r="D6" s="99">
        <f>-'FPT Corp | Balance Sheet '!I63</f>
        <v>-1999420.763</v>
      </c>
      <c r="E6" s="99">
        <f>-'FPT Corp | Balance Sheet '!J63</f>
        <v>313847.1634</v>
      </c>
      <c r="F6" s="99">
        <f>-'FPT Corp | Balance Sheet '!K63</f>
        <v>-3064968.319</v>
      </c>
      <c r="G6" s="99">
        <f>-'FPT Corp | Balance Sheet '!L63</f>
        <v>-3400960.821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97" t="s">
        <v>565</v>
      </c>
      <c r="B7" s="100">
        <f>'FPT Corp | Cash Flow '!G50</f>
        <v>6206650.9</v>
      </c>
      <c r="C7" s="100">
        <f>'FPT Corp | Cash Flow '!H50</f>
        <v>6680036.629</v>
      </c>
      <c r="D7" s="100">
        <f>'FPT Corp | Cash Flow '!I50</f>
        <v>6694994.226</v>
      </c>
      <c r="E7" s="100">
        <f>'FPT Corp | Cash Flow '!J50</f>
        <v>6200527.185</v>
      </c>
      <c r="F7" s="100">
        <f>'FPT Corp | Cash Flow '!K50</f>
        <v>6237825.711</v>
      </c>
      <c r="G7" s="100">
        <f>'FPT Corp | Cash Flow '!L50</f>
        <v>6346288.695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>
      <c r="A8" s="97" t="s">
        <v>566</v>
      </c>
      <c r="B8" s="101">
        <f t="shared" ref="B8:G8" si="1">SUM(B3:B7)</f>
        <v>12670431.27</v>
      </c>
      <c r="C8" s="101">
        <f t="shared" si="1"/>
        <v>13835996.6</v>
      </c>
      <c r="D8" s="101">
        <f t="shared" si="1"/>
        <v>17404671.08</v>
      </c>
      <c r="E8" s="101">
        <f t="shared" si="1"/>
        <v>22746397.34</v>
      </c>
      <c r="F8" s="101">
        <f t="shared" si="1"/>
        <v>23571287.89</v>
      </c>
      <c r="G8" s="101">
        <f t="shared" si="1"/>
        <v>28031393.36</v>
      </c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21.75" customHeight="1">
      <c r="A9" s="97"/>
      <c r="B9" s="102"/>
      <c r="C9" s="102"/>
      <c r="D9" s="102"/>
      <c r="E9" s="102"/>
      <c r="F9" s="102"/>
      <c r="G9" s="102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25.5" customHeight="1">
      <c r="A10" s="103"/>
      <c r="B10" s="104"/>
      <c r="C10" s="104"/>
      <c r="D10" s="104"/>
      <c r="E10" s="104"/>
      <c r="F10" s="104"/>
      <c r="G10" s="10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25.5" customHeight="1">
      <c r="A11" s="105" t="s">
        <v>567</v>
      </c>
      <c r="B11" s="105"/>
      <c r="C11" s="106">
        <v>1.0</v>
      </c>
      <c r="D11" s="106">
        <v>2.0</v>
      </c>
      <c r="E11" s="106">
        <v>3.0</v>
      </c>
      <c r="F11" s="106">
        <v>4.0</v>
      </c>
      <c r="G11" s="106">
        <v>5.0</v>
      </c>
      <c r="H11" s="106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25.5" customHeight="1">
      <c r="A12" s="107"/>
      <c r="B12" s="107" t="s">
        <v>560</v>
      </c>
      <c r="C12" s="107">
        <v>2024.0</v>
      </c>
      <c r="D12" s="107">
        <v>2025.0</v>
      </c>
      <c r="E12" s="107">
        <v>2026.0</v>
      </c>
      <c r="F12" s="107">
        <v>2027.0</v>
      </c>
      <c r="G12" s="107">
        <v>2028.0</v>
      </c>
      <c r="H12" s="107">
        <v>2029.0</v>
      </c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25.5" customHeight="1">
      <c r="A13" s="108" t="s">
        <v>568</v>
      </c>
      <c r="B13" s="107" t="s">
        <v>569</v>
      </c>
      <c r="C13" s="109">
        <v>0.1646</v>
      </c>
      <c r="D13" s="109">
        <v>0.1646</v>
      </c>
      <c r="E13" s="109">
        <v>0.1646</v>
      </c>
      <c r="F13" s="109">
        <v>0.1646</v>
      </c>
      <c r="G13" s="109">
        <v>0.1646</v>
      </c>
      <c r="H13" s="109">
        <f>'Revenue breakdown'!P6</f>
        <v>0.09057588935</v>
      </c>
      <c r="I13" s="94"/>
      <c r="J13" s="94"/>
      <c r="K13" s="94"/>
      <c r="L13" s="110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25.5" customHeight="1">
      <c r="A14" s="111" t="str">
        <f>B2</f>
        <v/>
      </c>
      <c r="B14" s="107" t="s">
        <v>567</v>
      </c>
      <c r="C14" s="112">
        <f t="shared" ref="C14:H14" si="2">B8</f>
        <v>12670431.27</v>
      </c>
      <c r="D14" s="112">
        <f t="shared" si="2"/>
        <v>13835996.6</v>
      </c>
      <c r="E14" s="112">
        <f t="shared" si="2"/>
        <v>17404671.08</v>
      </c>
      <c r="F14" s="112">
        <f t="shared" si="2"/>
        <v>22746397.34</v>
      </c>
      <c r="G14" s="112">
        <f t="shared" si="2"/>
        <v>23571287.89</v>
      </c>
      <c r="H14" s="112">
        <f t="shared" si="2"/>
        <v>28031393.36</v>
      </c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25.5" customHeight="1">
      <c r="A15" s="108" t="s">
        <v>570</v>
      </c>
      <c r="B15" s="107"/>
      <c r="C15" s="107"/>
      <c r="D15" s="107"/>
      <c r="E15" s="107"/>
      <c r="F15" s="107"/>
      <c r="G15" s="113"/>
      <c r="H15" s="114">
        <f>H14/(G13-H13)</f>
        <v>378679231.8</v>
      </c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>
      <c r="A16" s="108" t="s">
        <v>571</v>
      </c>
      <c r="B16" s="107" t="s">
        <v>572</v>
      </c>
      <c r="C16" s="115">
        <f t="shared" ref="C16:F16" si="3">C14/(1+C13)^C11</f>
        <v>10879642.17</v>
      </c>
      <c r="D16" s="115">
        <f t="shared" si="3"/>
        <v>10201331.84</v>
      </c>
      <c r="E16" s="115">
        <f t="shared" si="3"/>
        <v>11018829.5</v>
      </c>
      <c r="F16" s="115">
        <f t="shared" si="3"/>
        <v>12365323.37</v>
      </c>
      <c r="G16" s="115">
        <f>(H15+G14)/(1+G13)^G11</f>
        <v>187764154.1</v>
      </c>
      <c r="H16" s="107" t="s">
        <v>573</v>
      </c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>
      <c r="A17" s="116" t="s">
        <v>574</v>
      </c>
      <c r="B17" s="107"/>
      <c r="C17" s="115"/>
      <c r="D17" s="115"/>
      <c r="E17" s="115"/>
      <c r="F17" s="115"/>
      <c r="G17" s="115"/>
      <c r="H17" s="11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>
      <c r="A18" s="117"/>
      <c r="B18" s="107" t="s">
        <v>575</v>
      </c>
      <c r="C18" s="118">
        <f>(SUM(C16:G16)/2300)</f>
        <v>100969.2526</v>
      </c>
      <c r="D18" s="107"/>
      <c r="E18" s="107"/>
      <c r="F18" s="107"/>
      <c r="G18" s="107"/>
      <c r="H18" s="107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>
      <c r="A19" s="94"/>
      <c r="B19" s="107" t="s">
        <v>576</v>
      </c>
      <c r="C19" s="119">
        <f>150400</f>
        <v>150400</v>
      </c>
      <c r="D19" s="94" t="s">
        <v>577</v>
      </c>
      <c r="E19" s="120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>
      <c r="A20" s="94"/>
      <c r="B20" s="121" t="s">
        <v>578</v>
      </c>
      <c r="C20" s="122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5.75" customHeight="1">
      <c r="A21" s="94" t="s">
        <v>567</v>
      </c>
      <c r="B21" s="104" t="s">
        <v>579</v>
      </c>
      <c r="C21" s="110">
        <f>C19/C18-1</f>
        <v>0.4895623781</v>
      </c>
      <c r="D21" s="104"/>
      <c r="E21" s="104"/>
      <c r="F21" s="104"/>
      <c r="G21" s="10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5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5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5.75" customHeight="1">
      <c r="A24" s="94" t="s">
        <v>580</v>
      </c>
      <c r="B24" s="123">
        <f>-'FPT Corp | Cash Flow '!B25</f>
        <v>3233070</v>
      </c>
      <c r="C24" s="123">
        <f>-'FPT Corp | Cash Flow '!C25</f>
        <v>3017645</v>
      </c>
      <c r="D24" s="123">
        <f>-'FPT Corp | Cash Flow '!D25</f>
        <v>2911001</v>
      </c>
      <c r="E24" s="123">
        <f>-'FPT Corp | Cash Flow '!E25</f>
        <v>3215243</v>
      </c>
      <c r="F24" s="123">
        <f>-'FPT Corp | Cash Flow '!F25</f>
        <v>3978252</v>
      </c>
      <c r="G24" s="123">
        <f>-'FPT Corp | Cash Flow '!G25</f>
        <v>2605512.659</v>
      </c>
      <c r="H24" s="123">
        <f>-'FPT Corp | Cash Flow '!H25</f>
        <v>3255914.536</v>
      </c>
      <c r="I24" s="123">
        <f>-'FPT Corp | Cash Flow '!I25</f>
        <v>3172483.413</v>
      </c>
      <c r="J24" s="123">
        <f>-'FPT Corp | Cash Flow '!J25</f>
        <v>2982576.118</v>
      </c>
      <c r="K24" s="123">
        <f>-'FPT Corp | Cash Flow '!K25</f>
        <v>2865528.336</v>
      </c>
      <c r="L24" s="123">
        <f>-'FPT Corp | Cash Flow '!L25</f>
        <v>3100526.482</v>
      </c>
      <c r="M24" s="123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5.75" customHeight="1">
      <c r="A25" s="94"/>
      <c r="B25" s="94"/>
      <c r="C25" s="94"/>
      <c r="D25" s="94"/>
      <c r="E25" s="94"/>
      <c r="F25" s="94"/>
      <c r="G25" s="123">
        <f>-'FPT Corp | Cash Flow '!G26</f>
        <v>1967102.045</v>
      </c>
      <c r="H25" s="123">
        <f>-'FPT Corp | Cash Flow '!H26</f>
        <v>2443213.635</v>
      </c>
      <c r="I25" s="123">
        <f>-'FPT Corp | Cash Flow '!I26</f>
        <v>2411475.231</v>
      </c>
      <c r="J25" s="123">
        <f>-'FPT Corp | Cash Flow '!J26</f>
        <v>2286160.362</v>
      </c>
      <c r="K25" s="123">
        <f>-'FPT Corp | Cash Flow '!K26</f>
        <v>2250264.309</v>
      </c>
      <c r="L25" s="123">
        <f>-'FPT Corp | Cash Flow '!L26</f>
        <v>2457857.547</v>
      </c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5.75" customHeight="1">
      <c r="A26" s="94"/>
      <c r="B26" s="94"/>
      <c r="C26" s="94"/>
      <c r="D26" s="94"/>
      <c r="E26" s="94"/>
      <c r="F26" s="94"/>
      <c r="G26" s="123">
        <f>-'FPT Corp | Cash Flow '!G27</f>
        <v>452297.6174</v>
      </c>
      <c r="H26" s="123">
        <f>-'FPT Corp | Cash Flow '!H27</f>
        <v>367962.8173</v>
      </c>
      <c r="I26" s="123">
        <f>-'FPT Corp | Cash Flow '!I27</f>
        <v>396955.8912</v>
      </c>
      <c r="J26" s="123">
        <f>-'FPT Corp | Cash Flow '!J27</f>
        <v>339935.7527</v>
      </c>
      <c r="K26" s="123">
        <f>-'FPT Corp | Cash Flow '!K27</f>
        <v>266198.8072</v>
      </c>
      <c r="L26" s="123">
        <f>-'FPT Corp | Cash Flow '!L27</f>
        <v>258138.6891</v>
      </c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5.75" customHeight="1">
      <c r="A27" s="94"/>
      <c r="B27" s="94"/>
      <c r="C27" s="94"/>
      <c r="D27" s="94"/>
      <c r="E27" s="94"/>
      <c r="F27" s="94"/>
      <c r="G27" s="123">
        <f>-'FPT Corp | Cash Flow '!G28</f>
        <v>186112.9963</v>
      </c>
      <c r="H27" s="123">
        <f>-'FPT Corp | Cash Flow '!H28</f>
        <v>444738.0832</v>
      </c>
      <c r="I27" s="123">
        <f>-'FPT Corp | Cash Flow '!I28</f>
        <v>364052.2913</v>
      </c>
      <c r="J27" s="123">
        <f>-'FPT Corp | Cash Flow '!J28</f>
        <v>356480.0036</v>
      </c>
      <c r="K27" s="123">
        <f>-'FPT Corp | Cash Flow '!K28</f>
        <v>349065.2195</v>
      </c>
      <c r="L27" s="123">
        <f>-'FPT Corp | Cash Flow '!L28</f>
        <v>384530.2459</v>
      </c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5.75" customHeight="1">
      <c r="A28" s="94"/>
      <c r="B28" s="94"/>
      <c r="C28" s="94"/>
      <c r="D28" s="94"/>
      <c r="E28" s="94"/>
      <c r="F28" s="94"/>
      <c r="G28" s="123"/>
      <c r="H28" s="123"/>
      <c r="I28" s="123"/>
      <c r="J28" s="123"/>
      <c r="K28" s="123"/>
      <c r="L28" s="123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5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5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5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5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5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5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5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5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5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5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5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5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5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5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5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5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5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5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5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5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5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5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5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5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5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5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5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5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5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5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5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5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5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5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5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5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5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5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5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5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5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5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5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5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5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5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5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5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5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5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5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5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5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5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5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5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5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5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5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5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5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5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5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5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5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5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5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5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5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5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5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5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5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5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5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5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5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5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5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5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5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5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5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5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5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5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5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5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5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5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5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5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5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5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5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5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5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5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5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5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5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5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5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5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5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5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5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5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5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5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5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5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5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5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5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5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5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5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5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5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5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5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5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5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5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5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5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5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5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5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5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5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5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5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5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5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5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5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5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5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5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5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5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5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5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5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5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5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5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5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5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5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5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5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5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5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5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5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5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5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5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5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5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5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5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5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5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5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5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5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5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5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5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5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5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5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5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5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5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5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5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5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5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5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5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5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5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5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5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5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5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5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5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5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5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5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5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5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5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5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5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5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5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5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5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5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5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5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5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5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5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5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5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5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5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5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5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5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5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5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5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5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5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5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5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5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5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5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5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5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5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5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5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5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5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5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5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5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5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5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5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5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5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5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5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5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5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5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5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5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5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5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5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5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5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5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5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5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5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5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5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5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5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5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5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5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5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5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5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5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5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5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5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5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5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5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5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5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5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5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5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5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5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5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5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5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5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5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5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5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5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5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5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5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5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5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5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5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5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5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5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5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5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5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5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5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5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5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5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5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5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5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5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5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5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5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5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5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5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5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5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5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5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5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5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5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5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5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5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5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5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5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5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5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5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5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5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5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5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5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5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5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5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5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5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5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5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5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5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5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5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5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5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5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5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5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5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5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5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5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5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5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5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5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5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5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5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5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5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5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5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5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5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5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5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5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5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5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5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5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5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5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5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5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5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5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5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5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5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5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5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5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5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5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5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5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5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5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5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5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5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5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5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5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5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5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5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5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5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5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5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5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5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5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5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5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5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5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5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5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5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5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5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5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5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5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5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5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5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5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5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5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5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5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5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5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5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5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5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5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5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5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5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5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5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5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5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5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5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5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5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5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5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5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5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5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5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5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5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5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5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5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5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5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5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5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5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5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5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5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5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5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5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5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5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5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5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5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5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5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5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5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5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5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5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5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5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5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5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5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5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5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5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2">
    <mergeCell ref="A17:A18"/>
    <mergeCell ref="B20:C2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9.14"/>
    <col customWidth="1" min="3" max="4" width="19.14"/>
    <col customWidth="1" min="5" max="26" width="10.71"/>
  </cols>
  <sheetData>
    <row r="1">
      <c r="A1" s="124" t="s">
        <v>581</v>
      </c>
      <c r="B1" s="124" t="s">
        <v>582</v>
      </c>
      <c r="C1" s="125" t="s">
        <v>583</v>
      </c>
      <c r="D1" s="125" t="s">
        <v>584</v>
      </c>
      <c r="E1" s="125" t="s">
        <v>585</v>
      </c>
      <c r="F1" s="125" t="s">
        <v>586</v>
      </c>
      <c r="G1" s="125" t="s">
        <v>587</v>
      </c>
      <c r="H1" s="125" t="s">
        <v>588</v>
      </c>
      <c r="I1" s="125" t="s">
        <v>589</v>
      </c>
      <c r="J1" s="125" t="s">
        <v>590</v>
      </c>
    </row>
    <row r="2">
      <c r="A2" s="126" t="s">
        <v>591</v>
      </c>
      <c r="B2" s="127">
        <v>4971528.0</v>
      </c>
      <c r="C2" s="128">
        <v>411.791674400315</v>
      </c>
      <c r="D2" s="129">
        <v>442.674932599292</v>
      </c>
      <c r="E2" s="130">
        <v>288705.207982698</v>
      </c>
      <c r="F2" s="130">
        <v>54054.2160833661</v>
      </c>
      <c r="G2" s="130">
        <v>29840.7051907196</v>
      </c>
      <c r="H2" s="130">
        <v>13233.1302791978</v>
      </c>
      <c r="I2" s="128">
        <v>35.321444</v>
      </c>
      <c r="J2" s="128">
        <v>3.888286</v>
      </c>
    </row>
    <row r="3">
      <c r="A3" s="126" t="s">
        <v>592</v>
      </c>
      <c r="B3" s="127">
        <v>4277116.0</v>
      </c>
      <c r="C3" s="128">
        <v>8159.55719510597</v>
      </c>
      <c r="D3" s="129">
        <v>8219.22499451649</v>
      </c>
      <c r="E3" s="130">
        <v>2410096.1364571</v>
      </c>
      <c r="F3" s="130">
        <v>463697.7091273</v>
      </c>
      <c r="G3" s="130">
        <v>72916.4769829737</v>
      </c>
      <c r="H3" s="130">
        <v>73190.633482302</v>
      </c>
      <c r="I3" s="128">
        <v>230.479705</v>
      </c>
      <c r="J3" s="128">
        <v>5.688525</v>
      </c>
    </row>
    <row r="4">
      <c r="A4" s="126" t="s">
        <v>593</v>
      </c>
      <c r="B4" s="127">
        <v>4969177.0</v>
      </c>
      <c r="C4" s="128">
        <v>7362.98800808454</v>
      </c>
      <c r="D4" s="129">
        <v>7515.20421261428</v>
      </c>
      <c r="E4" s="130">
        <v>1077664.89893149</v>
      </c>
      <c r="F4" s="130">
        <v>421121.715434946</v>
      </c>
      <c r="G4" s="130">
        <v>151723.101524041</v>
      </c>
      <c r="H4" s="130">
        <v>94863.6276649576</v>
      </c>
      <c r="I4" s="128">
        <v>75.347311</v>
      </c>
      <c r="J4" s="128">
        <v>10.478438</v>
      </c>
    </row>
    <row r="5">
      <c r="A5" s="126" t="s">
        <v>594</v>
      </c>
      <c r="B5" s="127">
        <v>4304803.0</v>
      </c>
      <c r="C5" s="128">
        <v>6476.47357515443</v>
      </c>
      <c r="D5" s="129">
        <v>6032.19436182923</v>
      </c>
      <c r="E5" s="130">
        <v>3052358.98218053</v>
      </c>
      <c r="F5" s="130">
        <v>813257.83573553</v>
      </c>
      <c r="G5" s="130">
        <v>498938.712219426</v>
      </c>
      <c r="H5" s="130">
        <v>257130.328681461</v>
      </c>
      <c r="I5" s="128">
        <v>24.714656</v>
      </c>
      <c r="J5" s="128">
        <v>3.260074</v>
      </c>
    </row>
    <row r="6">
      <c r="A6" s="126" t="s">
        <v>595</v>
      </c>
      <c r="B6" s="127">
        <v>4966373.0</v>
      </c>
      <c r="C6" s="128">
        <v>10953.31148026</v>
      </c>
      <c r="D6" s="129">
        <v>10912.3535219883</v>
      </c>
      <c r="E6" s="130">
        <v>1156877.20208653</v>
      </c>
      <c r="F6" s="130">
        <v>319097.99717992</v>
      </c>
      <c r="G6" s="130">
        <v>189746.862045039</v>
      </c>
      <c r="H6" s="130">
        <v>128381.83549379</v>
      </c>
      <c r="I6" s="128">
        <v>79.434904</v>
      </c>
      <c r="J6" s="128">
        <v>17.505478</v>
      </c>
    </row>
    <row r="7">
      <c r="A7" s="126" t="s">
        <v>596</v>
      </c>
      <c r="B7" s="127">
        <v>4121483.0</v>
      </c>
      <c r="C7" s="128">
        <v>6519.13607175882</v>
      </c>
      <c r="D7" s="129">
        <v>6382.65161447797</v>
      </c>
      <c r="E7" s="130">
        <v>1558970.42438559</v>
      </c>
      <c r="F7" s="130">
        <v>626723.952713769</v>
      </c>
      <c r="G7" s="130">
        <v>240364.708382399</v>
      </c>
      <c r="H7" s="130">
        <v>182544.388076769</v>
      </c>
      <c r="I7" s="128">
        <v>34.980596</v>
      </c>
      <c r="J7" s="128">
        <v>6.39435</v>
      </c>
    </row>
    <row r="8">
      <c r="A8" s="126" t="s">
        <v>597</v>
      </c>
      <c r="B8" s="127">
        <v>4968480.0</v>
      </c>
      <c r="C8" s="128">
        <v>1653.49232460496</v>
      </c>
      <c r="D8" s="129">
        <v>1776.7482013175</v>
      </c>
      <c r="E8" s="130">
        <v>2346515.77879527</v>
      </c>
      <c r="F8" s="130">
        <v>548772.516656157</v>
      </c>
      <c r="G8" s="130">
        <v>93991.5828146848</v>
      </c>
      <c r="H8" s="130">
        <v>97697.8861075316</v>
      </c>
      <c r="I8" s="128">
        <v>20.34851</v>
      </c>
      <c r="J8" s="128">
        <v>1.083784</v>
      </c>
    </row>
    <row r="9">
      <c r="A9" s="126" t="s">
        <v>598</v>
      </c>
      <c r="B9" s="127">
        <v>4970687.0</v>
      </c>
      <c r="C9" s="128">
        <v>3243.00988779371</v>
      </c>
      <c r="D9" s="129">
        <v>3890.09887409865</v>
      </c>
      <c r="E9" s="130">
        <v>1579745.84747622</v>
      </c>
      <c r="F9" s="130">
        <v>378817.436185672</v>
      </c>
      <c r="G9" s="130">
        <v>79789.6127272229</v>
      </c>
      <c r="H9" s="130">
        <v>60103.8470923697</v>
      </c>
      <c r="I9" s="128">
        <v>60.491803</v>
      </c>
      <c r="J9" s="128">
        <v>2.003257</v>
      </c>
    </row>
    <row r="10">
      <c r="A10" s="126" t="s">
        <v>599</v>
      </c>
      <c r="B10" s="127">
        <v>4290122.0</v>
      </c>
      <c r="C10" s="128">
        <v>724.072500587157</v>
      </c>
      <c r="D10" s="129">
        <v>1547.81879983106</v>
      </c>
      <c r="E10" s="130">
        <v>2505489.95147095</v>
      </c>
      <c r="F10" s="130">
        <v>367512.406437639</v>
      </c>
      <c r="G10" s="130">
        <v>59396.1286431059</v>
      </c>
      <c r="H10" s="130">
        <v>-251376.2235078</v>
      </c>
      <c r="I10" s="131" t="s">
        <v>600</v>
      </c>
      <c r="J10" s="128">
        <v>0.844235</v>
      </c>
    </row>
    <row r="11">
      <c r="A11" s="126" t="s">
        <v>601</v>
      </c>
      <c r="B11" s="127">
        <v>4325191.0</v>
      </c>
      <c r="C11" s="128">
        <v>4762.84788530466</v>
      </c>
      <c r="D11" s="129">
        <v>3796.53582958387</v>
      </c>
      <c r="E11" s="130">
        <v>1974071.53206741</v>
      </c>
      <c r="F11" s="130">
        <v>456557.106179618</v>
      </c>
      <c r="G11" s="130">
        <v>300986.298584102</v>
      </c>
      <c r="H11" s="130">
        <v>154051.958616132</v>
      </c>
      <c r="I11" s="128">
        <v>27.83365</v>
      </c>
      <c r="J11" s="128">
        <v>2.965408</v>
      </c>
    </row>
    <row r="12">
      <c r="A12" s="126" t="s">
        <v>602</v>
      </c>
      <c r="B12" s="127">
        <v>4317728.0</v>
      </c>
      <c r="C12" s="128">
        <v>8694.66798179923</v>
      </c>
      <c r="D12" s="129">
        <v>7328.75883347314</v>
      </c>
      <c r="E12" s="130">
        <v>6211202.62335087</v>
      </c>
      <c r="F12" s="130">
        <v>1296283.586263</v>
      </c>
      <c r="G12" s="130">
        <v>450526.195378632</v>
      </c>
      <c r="H12" s="130">
        <v>301532.830016015</v>
      </c>
      <c r="I12" s="128">
        <v>26.856028</v>
      </c>
      <c r="J12" s="128">
        <v>3.877494</v>
      </c>
    </row>
    <row r="13">
      <c r="A13" s="126" t="s">
        <v>603</v>
      </c>
      <c r="B13" s="127">
        <v>4237387.0</v>
      </c>
      <c r="C13" s="128">
        <v>2918.12296854267</v>
      </c>
      <c r="D13" s="129">
        <v>2865.49707669234</v>
      </c>
      <c r="E13" s="130">
        <v>2352258.57291746</v>
      </c>
      <c r="F13" s="130">
        <v>617542.387961057</v>
      </c>
      <c r="G13" s="130">
        <v>329113.602277638</v>
      </c>
      <c r="H13" s="130">
        <v>160438.750349526</v>
      </c>
      <c r="I13" s="131" t="s">
        <v>604</v>
      </c>
      <c r="J13" s="131" t="s">
        <v>604</v>
      </c>
    </row>
    <row r="14">
      <c r="A14" s="126" t="s">
        <v>605</v>
      </c>
      <c r="B14" s="127">
        <v>4549757.0</v>
      </c>
      <c r="C14" s="128">
        <v>162.262090501792</v>
      </c>
      <c r="D14" s="129">
        <v>73.711291593584</v>
      </c>
      <c r="E14" s="130">
        <v>378701.797198709</v>
      </c>
      <c r="F14" s="130">
        <v>67337.7564249218</v>
      </c>
      <c r="G14" s="130">
        <v>30491.3698873891</v>
      </c>
      <c r="H14" s="130">
        <v>12735.4533668878</v>
      </c>
      <c r="I14" s="128">
        <v>32.842365</v>
      </c>
      <c r="J14" s="128">
        <v>1.209173</v>
      </c>
    </row>
    <row r="15">
      <c r="A15" s="126" t="s">
        <v>606</v>
      </c>
      <c r="B15" s="127">
        <v>4304314.0</v>
      </c>
      <c r="C15" s="128">
        <v>3114.90486857826</v>
      </c>
      <c r="D15" s="129">
        <v>2603.77723760136</v>
      </c>
      <c r="E15" s="130">
        <v>2284660.26080988</v>
      </c>
      <c r="F15" s="130">
        <v>452661.48097308</v>
      </c>
      <c r="G15" s="130">
        <v>183755.306438903</v>
      </c>
      <c r="H15" s="130">
        <v>97416.0502300516</v>
      </c>
      <c r="I15" s="128">
        <v>31.463683</v>
      </c>
      <c r="J15" s="128">
        <v>3.201015</v>
      </c>
    </row>
    <row r="16">
      <c r="A16" s="126" t="s">
        <v>607</v>
      </c>
      <c r="B16" s="127">
        <v>4972111.0</v>
      </c>
      <c r="C16" s="128">
        <v>1555.72695296932</v>
      </c>
      <c r="D16" s="129">
        <v>1424.83856976394</v>
      </c>
      <c r="E16" s="130">
        <v>1652760.9023113</v>
      </c>
      <c r="F16" s="130">
        <v>263265.452800702</v>
      </c>
      <c r="G16" s="130">
        <v>49950.9058755792</v>
      </c>
      <c r="H16" s="130">
        <v>28394.612178872</v>
      </c>
      <c r="I16" s="131" t="s">
        <v>600</v>
      </c>
      <c r="J16" s="128">
        <v>1.880274</v>
      </c>
    </row>
    <row r="17">
      <c r="A17" s="126" t="s">
        <v>608</v>
      </c>
      <c r="B17" s="127">
        <v>4887372.0</v>
      </c>
      <c r="C17" s="128">
        <v>4326.97730792757</v>
      </c>
      <c r="D17" s="129">
        <v>4240.32971573785</v>
      </c>
      <c r="E17" s="130">
        <v>600787.321147427</v>
      </c>
      <c r="F17" s="130">
        <v>156407.580167397</v>
      </c>
      <c r="G17" s="130">
        <v>103728.915443399</v>
      </c>
      <c r="H17" s="130">
        <v>79761.7608004236</v>
      </c>
      <c r="I17" s="128">
        <v>57.098862</v>
      </c>
      <c r="J17" s="128">
        <v>11.463867</v>
      </c>
    </row>
    <row r="18">
      <c r="A18" s="126" t="s">
        <v>609</v>
      </c>
      <c r="B18" s="127">
        <v>4493939.0</v>
      </c>
      <c r="C18" s="128">
        <v>2056.66794198463</v>
      </c>
      <c r="D18" s="129">
        <v>1976.80227834203</v>
      </c>
      <c r="E18" s="130">
        <v>1019678.57603623</v>
      </c>
      <c r="F18" s="130">
        <v>129053.500548998</v>
      </c>
      <c r="G18" s="130">
        <v>81721.6360142739</v>
      </c>
      <c r="H18" s="130">
        <v>63052.0443315948</v>
      </c>
      <c r="I18" s="128">
        <v>37.815947</v>
      </c>
      <c r="J18" s="128">
        <v>5.935189</v>
      </c>
    </row>
    <row r="19">
      <c r="A19" s="126" t="s">
        <v>610</v>
      </c>
      <c r="B19" s="127">
        <v>4237129.0</v>
      </c>
      <c r="C19" s="128">
        <v>13046.7747329622</v>
      </c>
      <c r="D19" s="129">
        <v>11902.0201644678</v>
      </c>
      <c r="E19" s="130">
        <v>709156.307989527</v>
      </c>
      <c r="F19" s="130">
        <v>549257.734055263</v>
      </c>
      <c r="G19" s="130">
        <v>466731.487836498</v>
      </c>
      <c r="H19" s="130">
        <v>368635.450824881</v>
      </c>
      <c r="I19" s="128">
        <v>33.397739</v>
      </c>
      <c r="J19" s="128">
        <v>4.975809</v>
      </c>
    </row>
    <row r="20">
      <c r="A20" s="126" t="s">
        <v>611</v>
      </c>
      <c r="B20" s="127">
        <v>4971632.0</v>
      </c>
      <c r="C20" s="128">
        <v>5457.41118927782</v>
      </c>
      <c r="D20" s="129">
        <v>5118.0850746079</v>
      </c>
      <c r="E20" s="130">
        <v>3488929.56099545</v>
      </c>
      <c r="F20" s="130">
        <v>963668.369811129</v>
      </c>
      <c r="G20" s="130">
        <v>540360.710745062</v>
      </c>
      <c r="H20" s="130">
        <v>310588.728742469</v>
      </c>
      <c r="I20" s="128">
        <v>17.695475</v>
      </c>
      <c r="J20" s="128">
        <v>2.687822</v>
      </c>
    </row>
    <row r="21" ht="15.75" customHeight="1">
      <c r="A21" s="126" t="s">
        <v>612</v>
      </c>
      <c r="B21" s="127">
        <v>4968604.0</v>
      </c>
      <c r="C21" s="128">
        <v>76.9736447148634</v>
      </c>
      <c r="D21" s="129">
        <v>94.79819634275</v>
      </c>
      <c r="E21" s="130">
        <v>198587.251142891</v>
      </c>
      <c r="F21" s="130">
        <v>29586.5633278631</v>
      </c>
      <c r="G21" s="130">
        <v>4826.04527605205</v>
      </c>
      <c r="H21" s="130">
        <v>19958.2172078303</v>
      </c>
      <c r="I21" s="131" t="s">
        <v>604</v>
      </c>
      <c r="J21" s="131" t="s">
        <v>604</v>
      </c>
    </row>
    <row r="22" ht="15.75" customHeight="1">
      <c r="A22" s="126" t="s">
        <v>613</v>
      </c>
      <c r="B22" s="127">
        <v>4968652.0</v>
      </c>
      <c r="C22" s="128">
        <v>8700.30692580417</v>
      </c>
      <c r="D22" s="129">
        <v>8422.65175741251</v>
      </c>
      <c r="E22" s="130">
        <v>2069127.04785686</v>
      </c>
      <c r="F22" s="130">
        <v>799038.672630751</v>
      </c>
      <c r="G22" s="130">
        <v>418300.676641762</v>
      </c>
      <c r="H22" s="130">
        <v>254234.779119151</v>
      </c>
      <c r="I22" s="128">
        <v>31.789438</v>
      </c>
      <c r="J22" s="128">
        <v>7.417138</v>
      </c>
    </row>
    <row r="23" ht="15.75" customHeight="1"/>
    <row r="24" ht="15.75" customHeight="1">
      <c r="A24" s="132" t="s">
        <v>614</v>
      </c>
      <c r="B24" s="126" t="s">
        <v>615</v>
      </c>
      <c r="C24" s="126" t="s">
        <v>615</v>
      </c>
      <c r="D24" s="126" t="s">
        <v>615</v>
      </c>
      <c r="E24" s="130">
        <v>198587.251142891</v>
      </c>
      <c r="F24" s="130">
        <v>29586.5633278631</v>
      </c>
      <c r="G24" s="130">
        <v>4826.04527605205</v>
      </c>
      <c r="H24" s="130">
        <v>-251376.2235078</v>
      </c>
      <c r="I24" s="128">
        <v>17.695475</v>
      </c>
      <c r="J24" s="128">
        <v>0.844235</v>
      </c>
    </row>
    <row r="25" ht="15.75" customHeight="1">
      <c r="A25" s="132" t="s">
        <v>616</v>
      </c>
      <c r="B25" s="126" t="s">
        <v>615</v>
      </c>
      <c r="C25" s="126" t="s">
        <v>615</v>
      </c>
      <c r="D25" s="126" t="s">
        <v>615</v>
      </c>
      <c r="E25" s="130">
        <v>1616253.37489376</v>
      </c>
      <c r="F25" s="130">
        <v>436891.598204013</v>
      </c>
      <c r="G25" s="130">
        <v>127726.00848372</v>
      </c>
      <c r="H25" s="130">
        <v>96139.8389475046</v>
      </c>
      <c r="I25" s="128">
        <v>34.1891675</v>
      </c>
      <c r="J25" s="128">
        <v>3.568784</v>
      </c>
    </row>
    <row r="26" ht="15.75" customHeight="1">
      <c r="A26" s="132" t="s">
        <v>617</v>
      </c>
      <c r="B26" s="126" t="s">
        <v>615</v>
      </c>
      <c r="C26" s="126" t="s">
        <v>615</v>
      </c>
      <c r="D26" s="126" t="s">
        <v>615</v>
      </c>
      <c r="E26" s="130">
        <v>1842360.9567866765</v>
      </c>
      <c r="F26" s="130">
        <v>448733.8652033663</v>
      </c>
      <c r="G26" s="130">
        <v>197945.018214357</v>
      </c>
      <c r="H26" s="130">
        <v>112616.76550176309</v>
      </c>
      <c r="I26" s="128">
        <v>51.632667375</v>
      </c>
      <c r="J26" s="128">
        <v>4.963471</v>
      </c>
    </row>
    <row r="27" ht="15.75" customHeight="1">
      <c r="A27" s="132" t="s">
        <v>618</v>
      </c>
      <c r="B27" s="126" t="s">
        <v>615</v>
      </c>
      <c r="C27" s="126" t="s">
        <v>615</v>
      </c>
      <c r="D27" s="126" t="s">
        <v>615</v>
      </c>
      <c r="E27" s="130">
        <v>6211202.62335087</v>
      </c>
      <c r="F27" s="130">
        <v>1296283.586263</v>
      </c>
      <c r="G27" s="130">
        <v>540360.710745062</v>
      </c>
      <c r="H27" s="130">
        <v>368635.450824881</v>
      </c>
      <c r="I27" s="128">
        <v>230.479705</v>
      </c>
      <c r="J27" s="128">
        <v>17.505478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133" t="s">
        <v>619</v>
      </c>
      <c r="B34" s="134" t="s">
        <v>620</v>
      </c>
    </row>
    <row r="35" ht="15.75" customHeight="1">
      <c r="A35" s="135" t="s">
        <v>621</v>
      </c>
      <c r="B35" s="136">
        <f>'FCFE model'!B3</f>
        <v>9039066.151</v>
      </c>
    </row>
    <row r="36" ht="15.75" customHeight="1">
      <c r="A36" s="135" t="s">
        <v>622</v>
      </c>
      <c r="B36" s="137">
        <v>2300.9</v>
      </c>
    </row>
    <row r="37" ht="15.75" customHeight="1">
      <c r="A37" s="135" t="s">
        <v>623</v>
      </c>
      <c r="B37" s="138">
        <f>B35/B36</f>
        <v>3928.491525</v>
      </c>
    </row>
    <row r="38" ht="15.75" customHeight="1">
      <c r="A38" s="135" t="s">
        <v>624</v>
      </c>
      <c r="B38" s="139">
        <f>I25</f>
        <v>34.1891675</v>
      </c>
    </row>
    <row r="39" ht="15.75" customHeight="1">
      <c r="A39" s="135" t="s">
        <v>625</v>
      </c>
      <c r="B39" s="140">
        <f>B37*B38</f>
        <v>134311.8548</v>
      </c>
      <c r="C39" s="47"/>
    </row>
    <row r="40" ht="15.75" customHeight="1"/>
    <row r="41" ht="15.75" customHeight="1"/>
    <row r="42" ht="15.75" customHeight="1">
      <c r="A42" s="141"/>
      <c r="B42" s="141" t="s">
        <v>626</v>
      </c>
      <c r="C42" s="141" t="s">
        <v>627</v>
      </c>
      <c r="D42" s="141" t="s">
        <v>628</v>
      </c>
    </row>
    <row r="43" ht="15.75" customHeight="1">
      <c r="A43" s="142" t="s">
        <v>629</v>
      </c>
      <c r="B43" s="143">
        <f>'FCFE model'!C18</f>
        <v>100969.2526</v>
      </c>
      <c r="C43" s="144">
        <f>60%</f>
        <v>0.6</v>
      </c>
      <c r="D43" s="143">
        <f t="shared" ref="D43:D44" si="1">C43*B43</f>
        <v>60581.55155</v>
      </c>
    </row>
    <row r="44" ht="15.75" customHeight="1">
      <c r="A44" s="142" t="s">
        <v>630</v>
      </c>
      <c r="B44" s="143">
        <f>B39</f>
        <v>134311.8548</v>
      </c>
      <c r="C44" s="144">
        <f>40%</f>
        <v>0.4</v>
      </c>
      <c r="D44" s="143">
        <f t="shared" si="1"/>
        <v>53724.74191</v>
      </c>
    </row>
    <row r="45" ht="15.75" customHeight="1">
      <c r="A45" s="145" t="s">
        <v>631</v>
      </c>
      <c r="B45" s="146"/>
      <c r="C45" s="122"/>
      <c r="D45" s="147">
        <f>SUM(D43:D44)</f>
        <v>114306.2935</v>
      </c>
    </row>
    <row r="46" ht="15.75" customHeight="1"/>
    <row r="47" ht="15.75" customHeight="1">
      <c r="D47" s="47">
        <f>D45/'FCFE model'!C19-1</f>
        <v>-0.2399847509</v>
      </c>
      <c r="E47" s="148" t="s">
        <v>632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5:C4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86"/>
    <col customWidth="1" min="7" max="26" width="10.71"/>
  </cols>
  <sheetData>
    <row r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94" t="s">
        <v>633</v>
      </c>
      <c r="B2" s="94"/>
      <c r="C2" s="94"/>
      <c r="D2" s="94" t="s">
        <v>634</v>
      </c>
      <c r="E2" s="94" t="s">
        <v>635</v>
      </c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126" t="s">
        <v>591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126" t="s">
        <v>592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>
      <c r="A5" s="126" t="s">
        <v>593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5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5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5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5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5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5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5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5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5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5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5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5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5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5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5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5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5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5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5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5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5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5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5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5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5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5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5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5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5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5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5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5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5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5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5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5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5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5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5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5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5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5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5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5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5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5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5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5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5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5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5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5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5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5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5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5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5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5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5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5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5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5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5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5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5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5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5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5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5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5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5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5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5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5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5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5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5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5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5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5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5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5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5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5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5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5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5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5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5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5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5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5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5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5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5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5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5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5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5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5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5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5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5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5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5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5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5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5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5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5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5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5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5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5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5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5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5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5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5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5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5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5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5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5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5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5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5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5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5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5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5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5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5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5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5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5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5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5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5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5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5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5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5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5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5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5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5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5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5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5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5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5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5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5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5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5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5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5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5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5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5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5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5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5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5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5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5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5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5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5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5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5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5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5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5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5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5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5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5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5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5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5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5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5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5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5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5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5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5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5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5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5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5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5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5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5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5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5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5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5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5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5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5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5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5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5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5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5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5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5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5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5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5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5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5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5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5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5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5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5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5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5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5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5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5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5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5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5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5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5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5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5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5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5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5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5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5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5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5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5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5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5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5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5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5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5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5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5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5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5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5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5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5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5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5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5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5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5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5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5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5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5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5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5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5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5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5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5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5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5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5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5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5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5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5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5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5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5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5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5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5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5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5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5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5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5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5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5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5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5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5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5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5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5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5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5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5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5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5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5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5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5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5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5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5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5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5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5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5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5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5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5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5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5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5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5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5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5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5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5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5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5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5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5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5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5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5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5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5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5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5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5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5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5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5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5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5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5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5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5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5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5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5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5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5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5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5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5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5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5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5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5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5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5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5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5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5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5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5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5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5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5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5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5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5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5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5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5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5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5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5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5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5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5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5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5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5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5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5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5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5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5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5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5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5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5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5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5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5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5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5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5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5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5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5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5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5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5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5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5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5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5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5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5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5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5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5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5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5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5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5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5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5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5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5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5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5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5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5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5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5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5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5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5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5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5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5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5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5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5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5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5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5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5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5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5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5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5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5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5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5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5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5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5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5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5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5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5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5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5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5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5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5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5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5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5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5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5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5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5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5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5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5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5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5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5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5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5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5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5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5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5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5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5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5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5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5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5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5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5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5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5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5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5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5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5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5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5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5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5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5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5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5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5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5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5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5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5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5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5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5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1.29"/>
    <col customWidth="1" min="2" max="12" width="18.29"/>
    <col customWidth="1" min="13" max="17" width="10.86"/>
    <col customWidth="1" min="18" max="26" width="10.71"/>
  </cols>
  <sheetData>
    <row r="1">
      <c r="A1" s="149"/>
      <c r="B1" s="150" t="s">
        <v>636</v>
      </c>
      <c r="C1" s="151"/>
      <c r="D1" s="151"/>
      <c r="E1" s="151"/>
      <c r="F1" s="152"/>
      <c r="G1" s="153" t="s">
        <v>637</v>
      </c>
      <c r="H1" s="151"/>
      <c r="I1" s="151"/>
      <c r="J1" s="151"/>
      <c r="K1" s="151"/>
      <c r="L1" s="152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155" t="s">
        <v>638</v>
      </c>
      <c r="B2" s="156">
        <v>2019.0</v>
      </c>
      <c r="C2" s="156">
        <v>2020.0</v>
      </c>
      <c r="D2" s="156">
        <v>2021.0</v>
      </c>
      <c r="E2" s="156">
        <v>2022.0</v>
      </c>
      <c r="F2" s="156">
        <v>2023.0</v>
      </c>
      <c r="G2" s="157" t="s">
        <v>639</v>
      </c>
      <c r="H2" s="157" t="s">
        <v>640</v>
      </c>
      <c r="I2" s="157" t="s">
        <v>641</v>
      </c>
      <c r="J2" s="157" t="s">
        <v>642</v>
      </c>
      <c r="K2" s="157" t="s">
        <v>643</v>
      </c>
      <c r="L2" s="157" t="s">
        <v>644</v>
      </c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>
      <c r="A3" s="158" t="s">
        <v>645</v>
      </c>
      <c r="B3" s="159">
        <f>'FPT Corp | Income Statement '!C7</f>
        <v>27716960</v>
      </c>
      <c r="C3" s="159">
        <f>'FPT Corp | Income Statement '!D7</f>
        <v>29830401</v>
      </c>
      <c r="D3" s="159">
        <f>'FPT Corp | Income Statement '!E7</f>
        <v>35657263</v>
      </c>
      <c r="E3" s="159">
        <f>'FPT Corp | Income Statement '!F7</f>
        <v>44009528</v>
      </c>
      <c r="F3" s="159">
        <f>'FPT Corp | Income Statement '!G7</f>
        <v>52617901</v>
      </c>
      <c r="G3" s="160">
        <f t="shared" ref="G3:L3" si="1">SUM(G6,G16,G26)</f>
        <v>60321333.33</v>
      </c>
      <c r="H3" s="160">
        <f t="shared" si="1"/>
        <v>73234495.17</v>
      </c>
      <c r="I3" s="160">
        <f t="shared" si="1"/>
        <v>87980160.47</v>
      </c>
      <c r="J3" s="160">
        <f t="shared" si="1"/>
        <v>105324761.7</v>
      </c>
      <c r="K3" s="160">
        <f t="shared" si="1"/>
        <v>126177671.6</v>
      </c>
      <c r="L3" s="160">
        <f t="shared" si="1"/>
        <v>151263048.7</v>
      </c>
      <c r="M3" s="161"/>
      <c r="N3" s="162">
        <f>(L3/B3)^(1/(COUNT(B2:L2)))-1</f>
        <v>0.4040980973</v>
      </c>
      <c r="O3" s="161"/>
      <c r="P3" s="161" t="s">
        <v>646</v>
      </c>
      <c r="Q3" s="161"/>
      <c r="R3" s="161"/>
      <c r="S3" s="161"/>
      <c r="T3" s="161"/>
      <c r="U3" s="161"/>
      <c r="V3" s="161"/>
      <c r="W3" s="161"/>
      <c r="X3" s="161"/>
      <c r="Y3" s="161"/>
      <c r="Z3" s="161"/>
    </row>
    <row r="4">
      <c r="A4" s="163" t="s">
        <v>647</v>
      </c>
      <c r="B4" s="164"/>
      <c r="C4" s="165">
        <f t="shared" ref="C4:L4" si="2">C3/B3-1</f>
        <v>0.0762508226</v>
      </c>
      <c r="D4" s="165">
        <f t="shared" si="2"/>
        <v>0.1953330094</v>
      </c>
      <c r="E4" s="165">
        <f t="shared" si="2"/>
        <v>0.2342374119</v>
      </c>
      <c r="F4" s="165">
        <f t="shared" si="2"/>
        <v>0.1956024841</v>
      </c>
      <c r="G4" s="166">
        <f t="shared" si="2"/>
        <v>0.1464032618</v>
      </c>
      <c r="H4" s="166">
        <f t="shared" si="2"/>
        <v>0.2140728846</v>
      </c>
      <c r="I4" s="166">
        <f t="shared" si="2"/>
        <v>0.2013486305</v>
      </c>
      <c r="J4" s="166">
        <f t="shared" si="2"/>
        <v>0.1971421866</v>
      </c>
      <c r="K4" s="166">
        <f t="shared" si="2"/>
        <v>0.1979867749</v>
      </c>
      <c r="L4" s="166">
        <f t="shared" si="2"/>
        <v>0.1988099542</v>
      </c>
      <c r="M4" s="167"/>
      <c r="N4" s="168">
        <f>N8*L7+N17*L17+N27*L27</f>
        <v>0.179727668</v>
      </c>
      <c r="O4" s="167"/>
      <c r="P4" s="169">
        <v>0.058</v>
      </c>
      <c r="Q4" s="167" t="s">
        <v>648</v>
      </c>
      <c r="R4" s="167"/>
      <c r="S4" s="167"/>
      <c r="T4" s="167"/>
      <c r="U4" s="167"/>
      <c r="V4" s="167"/>
      <c r="W4" s="167"/>
      <c r="X4" s="167"/>
      <c r="Y4" s="167"/>
      <c r="Z4" s="167"/>
    </row>
    <row r="5">
      <c r="A5" s="170"/>
      <c r="B5" s="171"/>
      <c r="C5" s="171"/>
      <c r="D5" s="171"/>
      <c r="E5" s="171"/>
      <c r="F5" s="171"/>
      <c r="G5" s="172"/>
      <c r="H5" s="173"/>
      <c r="I5" s="173"/>
      <c r="J5" s="173"/>
      <c r="K5" s="173"/>
      <c r="L5" s="174"/>
      <c r="M5" s="154"/>
      <c r="N5" s="154"/>
      <c r="O5" s="154"/>
      <c r="P5" s="169">
        <v>0.034</v>
      </c>
      <c r="Q5" s="154" t="s">
        <v>649</v>
      </c>
      <c r="R5" s="154"/>
      <c r="S5" s="154"/>
      <c r="T5" s="154"/>
      <c r="U5" s="154"/>
      <c r="V5" s="154"/>
      <c r="W5" s="154"/>
      <c r="X5" s="154"/>
      <c r="Y5" s="154"/>
      <c r="Z5" s="154"/>
    </row>
    <row r="6">
      <c r="A6" s="175" t="s">
        <v>650</v>
      </c>
      <c r="B6" s="176">
        <f>B7*B3</f>
        <v>15770950.24</v>
      </c>
      <c r="C6" s="176">
        <f>16805*10^3</f>
        <v>16805000</v>
      </c>
      <c r="D6" s="176">
        <f>20736.263*10^3</f>
        <v>20736263</v>
      </c>
      <c r="E6" s="176">
        <f>25763*10^3</f>
        <v>25763000</v>
      </c>
      <c r="F6" s="176">
        <f>$F$3*F7</f>
        <v>31465504.8</v>
      </c>
      <c r="G6" s="177">
        <f>SUM(G9,G12)</f>
        <v>37285333.33</v>
      </c>
      <c r="H6" s="178">
        <f t="shared" ref="H6:L6" si="3">H9+H12</f>
        <v>46320886.72</v>
      </c>
      <c r="I6" s="178">
        <f t="shared" si="3"/>
        <v>57468608.75</v>
      </c>
      <c r="J6" s="178">
        <f t="shared" si="3"/>
        <v>70679132.29</v>
      </c>
      <c r="K6" s="178">
        <f t="shared" si="3"/>
        <v>86933006.1</v>
      </c>
      <c r="L6" s="178">
        <f t="shared" si="3"/>
        <v>106658939</v>
      </c>
      <c r="M6" s="179"/>
      <c r="N6" s="179"/>
      <c r="O6" s="179"/>
      <c r="P6" s="180">
        <f>AVERAGE(P4:P5,N4)</f>
        <v>0.09057588935</v>
      </c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>
      <c r="A7" s="181" t="s">
        <v>651</v>
      </c>
      <c r="B7" s="182">
        <f>56.9%</f>
        <v>0.569</v>
      </c>
      <c r="C7" s="182">
        <f t="shared" ref="C7:E7" si="4">C6/C3</f>
        <v>0.5633514615</v>
      </c>
      <c r="D7" s="182">
        <f t="shared" si="4"/>
        <v>0.5815438779</v>
      </c>
      <c r="E7" s="182">
        <f t="shared" si="4"/>
        <v>0.5853959624</v>
      </c>
      <c r="F7" s="182">
        <f>59.8%</f>
        <v>0.598</v>
      </c>
      <c r="G7" s="182">
        <f>G6/$G$3</f>
        <v>0.6181118897</v>
      </c>
      <c r="H7" s="182">
        <f t="shared" ref="H7:L7" si="5">H6/H3</f>
        <v>0.6325009357</v>
      </c>
      <c r="I7" s="182">
        <f t="shared" si="5"/>
        <v>0.6531996355</v>
      </c>
      <c r="J7" s="182">
        <f t="shared" si="5"/>
        <v>0.6710590289</v>
      </c>
      <c r="K7" s="182">
        <f t="shared" si="5"/>
        <v>0.6889729777</v>
      </c>
      <c r="L7" s="182">
        <f t="shared" si="5"/>
        <v>0.7051222351</v>
      </c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>
      <c r="A8" s="183" t="s">
        <v>652</v>
      </c>
      <c r="B8" s="184"/>
      <c r="C8" s="185">
        <f t="shared" ref="C8:L8" si="6">C6/B6-1</f>
        <v>0.06556673785</v>
      </c>
      <c r="D8" s="185">
        <f t="shared" si="6"/>
        <v>0.2339341267</v>
      </c>
      <c r="E8" s="185">
        <f t="shared" si="6"/>
        <v>0.2424128687</v>
      </c>
      <c r="F8" s="185">
        <f t="shared" si="6"/>
        <v>0.2213447501</v>
      </c>
      <c r="G8" s="186">
        <f t="shared" si="6"/>
        <v>0.1849590074</v>
      </c>
      <c r="H8" s="186">
        <f t="shared" si="6"/>
        <v>0.2423353253</v>
      </c>
      <c r="I8" s="186">
        <f t="shared" si="6"/>
        <v>0.2406629671</v>
      </c>
      <c r="J8" s="186">
        <f t="shared" si="6"/>
        <v>0.2298737315</v>
      </c>
      <c r="K8" s="186">
        <f t="shared" si="6"/>
        <v>0.229967082</v>
      </c>
      <c r="L8" s="186">
        <f t="shared" si="6"/>
        <v>0.2269095911</v>
      </c>
      <c r="M8" s="154"/>
      <c r="N8" s="187">
        <f>(L6/B6)^(1/(COUNT(B6:L6)))-1</f>
        <v>0.189781517</v>
      </c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>
      <c r="A9" s="188" t="s">
        <v>653</v>
      </c>
      <c r="B9" s="189">
        <f t="shared" ref="B9:F9" si="7">B6-B12</f>
        <v>10835592.24</v>
      </c>
      <c r="C9" s="189">
        <f t="shared" si="7"/>
        <v>12002877</v>
      </c>
      <c r="D9" s="189">
        <f t="shared" si="7"/>
        <v>14540759</v>
      </c>
      <c r="E9" s="189">
        <f t="shared" si="7"/>
        <v>19177406</v>
      </c>
      <c r="F9" s="189">
        <f t="shared" si="7"/>
        <v>24740498.8</v>
      </c>
      <c r="G9" s="190">
        <f>21987358*4/3</f>
        <v>29316477.33</v>
      </c>
      <c r="H9" s="190">
        <f t="shared" ref="H9:L9" si="8">G9*(1+H10)</f>
        <v>36176533.03</v>
      </c>
      <c r="I9" s="190">
        <f t="shared" si="8"/>
        <v>44573106.35</v>
      </c>
      <c r="J9" s="190">
        <f t="shared" si="8"/>
        <v>54428220.16</v>
      </c>
      <c r="K9" s="190">
        <f t="shared" si="8"/>
        <v>66456856.81</v>
      </c>
      <c r="L9" s="190">
        <f t="shared" si="8"/>
        <v>80924514.54</v>
      </c>
      <c r="M9" s="110">
        <f>L9/L6</f>
        <v>0.7587222911</v>
      </c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>
      <c r="A10" s="191" t="s">
        <v>654</v>
      </c>
      <c r="B10" s="184"/>
      <c r="C10" s="192">
        <f t="shared" ref="C10:G10" si="9">C9/B9-1</f>
        <v>0.1077268998</v>
      </c>
      <c r="D10" s="192">
        <f t="shared" si="9"/>
        <v>0.2114394741</v>
      </c>
      <c r="E10" s="192">
        <f t="shared" si="9"/>
        <v>0.3188724192</v>
      </c>
      <c r="F10" s="192">
        <f t="shared" si="9"/>
        <v>0.290085781</v>
      </c>
      <c r="G10" s="193">
        <f t="shared" si="9"/>
        <v>0.184959025</v>
      </c>
      <c r="H10" s="193">
        <v>0.234</v>
      </c>
      <c r="I10" s="193">
        <v>0.2321</v>
      </c>
      <c r="J10" s="193">
        <v>0.2211</v>
      </c>
      <c r="K10" s="193">
        <v>0.221</v>
      </c>
      <c r="L10" s="193">
        <v>0.2177</v>
      </c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>
      <c r="A11" s="191" t="s">
        <v>655</v>
      </c>
      <c r="B11" s="194">
        <f t="shared" ref="B11:L11" si="10">B9/B6</f>
        <v>0.6870602009</v>
      </c>
      <c r="C11" s="194">
        <f t="shared" si="10"/>
        <v>0.7142443916</v>
      </c>
      <c r="D11" s="194">
        <f t="shared" si="10"/>
        <v>0.7012236969</v>
      </c>
      <c r="E11" s="194">
        <f t="shared" si="10"/>
        <v>0.7443778287</v>
      </c>
      <c r="F11" s="194">
        <f t="shared" si="10"/>
        <v>0.7862736974</v>
      </c>
      <c r="G11" s="194">
        <f t="shared" si="10"/>
        <v>0.7862737091</v>
      </c>
      <c r="H11" s="194">
        <f t="shared" si="10"/>
        <v>0.7809982838</v>
      </c>
      <c r="I11" s="194">
        <f t="shared" si="10"/>
        <v>0.7756078895</v>
      </c>
      <c r="J11" s="194">
        <f t="shared" si="10"/>
        <v>0.7700748211</v>
      </c>
      <c r="K11" s="194">
        <f t="shared" si="10"/>
        <v>0.7644605863</v>
      </c>
      <c r="L11" s="194">
        <f t="shared" si="10"/>
        <v>0.7587222911</v>
      </c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>
      <c r="A12" s="188" t="s">
        <v>656</v>
      </c>
      <c r="B12" s="189">
        <v>4935358.0</v>
      </c>
      <c r="C12" s="189">
        <v>4802123.0</v>
      </c>
      <c r="D12" s="189">
        <v>6195504.0</v>
      </c>
      <c r="E12" s="189">
        <v>6585594.0</v>
      </c>
      <c r="F12" s="189">
        <f>6725006</f>
        <v>6725006</v>
      </c>
      <c r="G12" s="190">
        <f>5976642*4/3</f>
        <v>7968856</v>
      </c>
      <c r="H12" s="190">
        <f t="shared" ref="H12:L12" si="11">G12*(1+H13)</f>
        <v>10144353.69</v>
      </c>
      <c r="I12" s="190">
        <f t="shared" si="11"/>
        <v>12895502.41</v>
      </c>
      <c r="J12" s="190">
        <f t="shared" si="11"/>
        <v>16250912.13</v>
      </c>
      <c r="K12" s="190">
        <f t="shared" si="11"/>
        <v>20476149.29</v>
      </c>
      <c r="L12" s="190">
        <f t="shared" si="11"/>
        <v>25734424.43</v>
      </c>
      <c r="M12" s="110">
        <f>L12/L6</f>
        <v>0.2412777089</v>
      </c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>
      <c r="A13" s="191" t="s">
        <v>654</v>
      </c>
      <c r="B13" s="184"/>
      <c r="C13" s="192">
        <f t="shared" ref="C13:G13" si="12">C12/B12-1</f>
        <v>-0.02699601528</v>
      </c>
      <c r="D13" s="192">
        <f t="shared" si="12"/>
        <v>0.2901593733</v>
      </c>
      <c r="E13" s="192">
        <f t="shared" si="12"/>
        <v>0.06296340056</v>
      </c>
      <c r="F13" s="192">
        <f t="shared" si="12"/>
        <v>0.02116923697</v>
      </c>
      <c r="G13" s="193">
        <f t="shared" si="12"/>
        <v>0.1849589428</v>
      </c>
      <c r="H13" s="195">
        <v>0.273</v>
      </c>
      <c r="I13" s="195">
        <v>0.2712</v>
      </c>
      <c r="J13" s="195">
        <v>0.2602</v>
      </c>
      <c r="K13" s="195">
        <v>0.26</v>
      </c>
      <c r="L13" s="195">
        <v>0.2568</v>
      </c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>
      <c r="A14" s="191" t="s">
        <v>655</v>
      </c>
      <c r="B14" s="194">
        <f t="shared" ref="B14:L14" si="13">B12/B6</f>
        <v>0.3129397991</v>
      </c>
      <c r="C14" s="194">
        <f t="shared" si="13"/>
        <v>0.2857556084</v>
      </c>
      <c r="D14" s="194">
        <f t="shared" si="13"/>
        <v>0.2987763031</v>
      </c>
      <c r="E14" s="194">
        <f t="shared" si="13"/>
        <v>0.2556221713</v>
      </c>
      <c r="F14" s="194">
        <f t="shared" si="13"/>
        <v>0.2137263026</v>
      </c>
      <c r="G14" s="194">
        <f t="shared" si="13"/>
        <v>0.2137262909</v>
      </c>
      <c r="H14" s="194">
        <f t="shared" si="13"/>
        <v>0.2190017162</v>
      </c>
      <c r="I14" s="194">
        <f t="shared" si="13"/>
        <v>0.2243921105</v>
      </c>
      <c r="J14" s="194">
        <f t="shared" si="13"/>
        <v>0.2299251789</v>
      </c>
      <c r="K14" s="194">
        <f t="shared" si="13"/>
        <v>0.2355394137</v>
      </c>
      <c r="L14" s="194">
        <f t="shared" si="13"/>
        <v>0.2412777089</v>
      </c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>
      <c r="A15" s="170"/>
      <c r="B15" s="171"/>
      <c r="C15" s="171"/>
      <c r="D15" s="171"/>
      <c r="E15" s="171"/>
      <c r="F15" s="171"/>
      <c r="G15" s="172"/>
      <c r="H15" s="173"/>
      <c r="I15" s="173"/>
      <c r="J15" s="173"/>
      <c r="K15" s="173"/>
      <c r="L15" s="17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>
      <c r="A16" s="196" t="s">
        <v>657</v>
      </c>
      <c r="B16" s="197">
        <f>B17*B3</f>
        <v>10393860</v>
      </c>
      <c r="C16" s="197">
        <f>11466.401*10^3</f>
        <v>11466401</v>
      </c>
      <c r="D16" s="197">
        <f>12686*10^3</f>
        <v>12686000</v>
      </c>
      <c r="E16" s="197">
        <f>E3-E6-E26</f>
        <v>14729528</v>
      </c>
      <c r="F16" s="197">
        <f>$F$3*F17</f>
        <v>15785370.3</v>
      </c>
      <c r="G16" s="198">
        <f t="shared" ref="G16:L16" si="14">SUM(G19,G22)</f>
        <v>17066666.67</v>
      </c>
      <c r="H16" s="198">
        <f t="shared" si="14"/>
        <v>18695397.27</v>
      </c>
      <c r="I16" s="198">
        <f t="shared" si="14"/>
        <v>20452461.23</v>
      </c>
      <c r="J16" s="198">
        <f t="shared" si="14"/>
        <v>22333302.64</v>
      </c>
      <c r="K16" s="198">
        <f t="shared" si="14"/>
        <v>24174377.52</v>
      </c>
      <c r="L16" s="198">
        <f t="shared" si="14"/>
        <v>26158077.26</v>
      </c>
      <c r="M16" s="179"/>
      <c r="N16" s="110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>
      <c r="A17" s="181" t="s">
        <v>651</v>
      </c>
      <c r="B17" s="199">
        <f>37.5%</f>
        <v>0.375</v>
      </c>
      <c r="C17" s="199">
        <f t="shared" ref="C17:E17" si="15">C16/C3</f>
        <v>0.3843864184</v>
      </c>
      <c r="D17" s="199">
        <f t="shared" si="15"/>
        <v>0.3557760448</v>
      </c>
      <c r="E17" s="199">
        <f t="shared" si="15"/>
        <v>0.3346895245</v>
      </c>
      <c r="F17" s="199">
        <v>0.3</v>
      </c>
      <c r="G17" s="199">
        <f>G16/$G$3</f>
        <v>0.2829292014</v>
      </c>
      <c r="H17" s="199">
        <f>H16/$H$3</f>
        <v>0.2552813019</v>
      </c>
      <c r="I17" s="199">
        <f>I16/$I$3</f>
        <v>0.2324667416</v>
      </c>
      <c r="J17" s="199">
        <f>J16/$J$3</f>
        <v>0.2120422803</v>
      </c>
      <c r="K17" s="199">
        <f>K16/$K$3</f>
        <v>0.1915899796</v>
      </c>
      <c r="L17" s="199">
        <f>L16/$L$3</f>
        <v>0.1729310462</v>
      </c>
      <c r="M17" s="154"/>
      <c r="N17" s="187">
        <f>(L16/B16)^(1/(COUNT(B16:L16)))-1</f>
        <v>0.08752436559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>
      <c r="A18" s="183" t="s">
        <v>652</v>
      </c>
      <c r="B18" s="184"/>
      <c r="C18" s="185">
        <f t="shared" ref="C18:L18" si="16">C16/B16-1</f>
        <v>0.103189864</v>
      </c>
      <c r="D18" s="185">
        <f t="shared" si="16"/>
        <v>0.1063628422</v>
      </c>
      <c r="E18" s="185">
        <f t="shared" si="16"/>
        <v>0.1610852909</v>
      </c>
      <c r="F18" s="185">
        <f t="shared" si="16"/>
        <v>0.0716820186</v>
      </c>
      <c r="G18" s="186">
        <f t="shared" si="16"/>
        <v>0.08116986439</v>
      </c>
      <c r="H18" s="186">
        <f t="shared" si="16"/>
        <v>0.09543343362</v>
      </c>
      <c r="I18" s="186">
        <f t="shared" si="16"/>
        <v>0.09398377263</v>
      </c>
      <c r="J18" s="186">
        <f t="shared" si="16"/>
        <v>0.09196161706</v>
      </c>
      <c r="K18" s="186">
        <f t="shared" si="16"/>
        <v>0.08243630183</v>
      </c>
      <c r="L18" s="186">
        <f t="shared" si="16"/>
        <v>0.08205794516</v>
      </c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>
      <c r="A19" s="200" t="s">
        <v>658</v>
      </c>
      <c r="B19" s="189">
        <f>9789.86*10^3</f>
        <v>9789860</v>
      </c>
      <c r="C19" s="189">
        <f>10867.2*10^3</f>
        <v>10867200</v>
      </c>
      <c r="D19" s="189">
        <f>12079*10^3</f>
        <v>12079000</v>
      </c>
      <c r="E19" s="189">
        <f>E74*$E$16/$E$76</f>
        <v>13954105.37</v>
      </c>
      <c r="F19" s="201">
        <v>1.5185852E7</v>
      </c>
      <c r="G19" s="202">
        <f> 12320000*4/3</f>
        <v>16426666.67</v>
      </c>
      <c r="H19" s="203">
        <f t="shared" ref="H19:L19" si="17">G19*(1+H20)</f>
        <v>18054411.67</v>
      </c>
      <c r="I19" s="203">
        <f t="shared" si="17"/>
        <v>19810488.52</v>
      </c>
      <c r="J19" s="203">
        <f t="shared" si="17"/>
        <v>21690341.29</v>
      </c>
      <c r="K19" s="203">
        <f t="shared" si="17"/>
        <v>23530426</v>
      </c>
      <c r="L19" s="203">
        <f t="shared" si="17"/>
        <v>25513134.06</v>
      </c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>
      <c r="A20" s="191" t="s">
        <v>654</v>
      </c>
      <c r="B20" s="184"/>
      <c r="C20" s="192">
        <f t="shared" ref="C20:G20" si="18">C19/B19-1</f>
        <v>0.1100465175</v>
      </c>
      <c r="D20" s="192">
        <f t="shared" si="18"/>
        <v>0.1115098645</v>
      </c>
      <c r="E20" s="192">
        <f t="shared" si="18"/>
        <v>0.1552368052</v>
      </c>
      <c r="F20" s="192">
        <f t="shared" si="18"/>
        <v>0.08827127196</v>
      </c>
      <c r="G20" s="192">
        <f t="shared" si="18"/>
        <v>0.08170859736</v>
      </c>
      <c r="H20" s="192">
        <f t="shared" ref="H20:L20" si="19">AVERAGE(C20:G20,$M$20)</f>
        <v>0.09909161935</v>
      </c>
      <c r="I20" s="192">
        <f t="shared" si="19"/>
        <v>0.09726580298</v>
      </c>
      <c r="J20" s="192">
        <f t="shared" si="19"/>
        <v>0.09489179272</v>
      </c>
      <c r="K20" s="192">
        <f t="shared" si="19"/>
        <v>0.08483429065</v>
      </c>
      <c r="L20" s="192">
        <f t="shared" si="19"/>
        <v>0.08426146043</v>
      </c>
      <c r="M20" s="204">
        <v>0.0477766594985984</v>
      </c>
      <c r="N20" s="205" t="s">
        <v>659</v>
      </c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 ht="15.75" customHeight="1">
      <c r="A21" s="191" t="s">
        <v>660</v>
      </c>
      <c r="B21" s="194">
        <f t="shared" ref="B21:L21" si="20">B19/B16</f>
        <v>0.9418887689</v>
      </c>
      <c r="C21" s="194">
        <f t="shared" si="20"/>
        <v>0.9477428881</v>
      </c>
      <c r="D21" s="194">
        <f t="shared" si="20"/>
        <v>0.9521519786</v>
      </c>
      <c r="E21" s="194">
        <f t="shared" si="20"/>
        <v>0.9473559078</v>
      </c>
      <c r="F21" s="194">
        <f t="shared" si="20"/>
        <v>0.9620206376</v>
      </c>
      <c r="G21" s="194">
        <f t="shared" si="20"/>
        <v>0.9625</v>
      </c>
      <c r="H21" s="194">
        <f t="shared" si="20"/>
        <v>0.9657142563</v>
      </c>
      <c r="I21" s="194">
        <f t="shared" si="20"/>
        <v>0.9686114688</v>
      </c>
      <c r="J21" s="194">
        <f t="shared" si="20"/>
        <v>0.971210646</v>
      </c>
      <c r="K21" s="194">
        <f t="shared" si="20"/>
        <v>0.9733622297</v>
      </c>
      <c r="L21" s="194">
        <f t="shared" si="20"/>
        <v>0.9753443957</v>
      </c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 ht="15.75" customHeight="1">
      <c r="A22" s="200" t="s">
        <v>661</v>
      </c>
      <c r="B22" s="189">
        <f>B16-B19</f>
        <v>604000</v>
      </c>
      <c r="C22" s="189">
        <f>599.201*10^3</f>
        <v>599201</v>
      </c>
      <c r="D22" s="189">
        <f t="shared" ref="D22:F22" si="21">D16-D19</f>
        <v>607000</v>
      </c>
      <c r="E22" s="189">
        <f t="shared" si="21"/>
        <v>775422.6301</v>
      </c>
      <c r="F22" s="201">
        <f t="shared" si="21"/>
        <v>599518.3</v>
      </c>
      <c r="G22" s="202">
        <f> 480000*4/3</f>
        <v>640000</v>
      </c>
      <c r="H22" s="206">
        <f t="shared" ref="H22:L22" si="22">G22*(1+H23)</f>
        <v>640985.6</v>
      </c>
      <c r="I22" s="206">
        <f t="shared" si="22"/>
        <v>641972.7178</v>
      </c>
      <c r="J22" s="206">
        <f t="shared" si="22"/>
        <v>642961.3558</v>
      </c>
      <c r="K22" s="206">
        <f t="shared" si="22"/>
        <v>643951.5163</v>
      </c>
      <c r="L22" s="206">
        <f t="shared" si="22"/>
        <v>644943.2016</v>
      </c>
      <c r="M22" s="154" t="s">
        <v>662</v>
      </c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ht="15.75" customHeight="1">
      <c r="A23" s="191" t="s">
        <v>654</v>
      </c>
      <c r="B23" s="184"/>
      <c r="C23" s="192">
        <f t="shared" ref="C23:G23" si="23">C22/B22-1</f>
        <v>-0.007945364238</v>
      </c>
      <c r="D23" s="192">
        <f t="shared" si="23"/>
        <v>0.01301566586</v>
      </c>
      <c r="E23" s="192">
        <f t="shared" si="23"/>
        <v>0.2774672653</v>
      </c>
      <c r="F23" s="192">
        <f t="shared" si="23"/>
        <v>-0.2268496214</v>
      </c>
      <c r="G23" s="192">
        <f t="shared" si="23"/>
        <v>0.06752371029</v>
      </c>
      <c r="H23" s="193">
        <f t="shared" ref="H23:L23" si="24">7.7%*2%</f>
        <v>0.00154</v>
      </c>
      <c r="I23" s="193">
        <f t="shared" si="24"/>
        <v>0.00154</v>
      </c>
      <c r="J23" s="193">
        <f t="shared" si="24"/>
        <v>0.00154</v>
      </c>
      <c r="K23" s="193">
        <f t="shared" si="24"/>
        <v>0.00154</v>
      </c>
      <c r="L23" s="193">
        <f t="shared" si="24"/>
        <v>0.00154</v>
      </c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ht="15.75" customHeight="1">
      <c r="A24" s="191" t="s">
        <v>660</v>
      </c>
      <c r="B24" s="194">
        <f t="shared" ref="B24:L24" si="25">B22/B16</f>
        <v>0.05811123105</v>
      </c>
      <c r="C24" s="194">
        <f t="shared" si="25"/>
        <v>0.05225711189</v>
      </c>
      <c r="D24" s="194">
        <f t="shared" si="25"/>
        <v>0.04784802144</v>
      </c>
      <c r="E24" s="194">
        <f t="shared" si="25"/>
        <v>0.0526440922</v>
      </c>
      <c r="F24" s="194">
        <f t="shared" si="25"/>
        <v>0.03797936245</v>
      </c>
      <c r="G24" s="194">
        <f t="shared" si="25"/>
        <v>0.0375</v>
      </c>
      <c r="H24" s="194">
        <f t="shared" si="25"/>
        <v>0.03428574375</v>
      </c>
      <c r="I24" s="194">
        <f t="shared" si="25"/>
        <v>0.03138853121</v>
      </c>
      <c r="J24" s="194">
        <f t="shared" si="25"/>
        <v>0.028789354</v>
      </c>
      <c r="K24" s="194">
        <f t="shared" si="25"/>
        <v>0.02663777033</v>
      </c>
      <c r="L24" s="194">
        <f t="shared" si="25"/>
        <v>0.02465560428</v>
      </c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15.75" customHeight="1">
      <c r="A25" s="170"/>
      <c r="B25" s="171"/>
      <c r="C25" s="171"/>
      <c r="D25" s="171"/>
      <c r="E25" s="171"/>
      <c r="F25" s="171"/>
      <c r="G25" s="172"/>
      <c r="H25" s="173"/>
      <c r="I25" s="173"/>
      <c r="J25" s="173"/>
      <c r="K25" s="173"/>
      <c r="L25" s="17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ht="15.75" customHeight="1">
      <c r="A26" s="196" t="s">
        <v>663</v>
      </c>
      <c r="B26" s="207">
        <f>B27*B3</f>
        <v>1552149.76</v>
      </c>
      <c r="C26" s="207">
        <f>1559*10^3</f>
        <v>1559000</v>
      </c>
      <c r="D26" s="207">
        <f>2235*10^3</f>
        <v>2235000</v>
      </c>
      <c r="E26" s="197">
        <f>3517*10^3</f>
        <v>3517000</v>
      </c>
      <c r="F26" s="197">
        <f>$F$3*F27</f>
        <v>5367025.902</v>
      </c>
      <c r="G26" s="198">
        <f>4477000*4/3</f>
        <v>5969333.333</v>
      </c>
      <c r="H26" s="198">
        <f t="shared" ref="H26:L26" si="26">H29*(H31/10^6)</f>
        <v>8218211.181</v>
      </c>
      <c r="I26" s="198">
        <f t="shared" si="26"/>
        <v>10059090.49</v>
      </c>
      <c r="J26" s="198">
        <f t="shared" si="26"/>
        <v>12312326.75</v>
      </c>
      <c r="K26" s="198">
        <f t="shared" si="26"/>
        <v>15070287.95</v>
      </c>
      <c r="L26" s="198">
        <f t="shared" si="26"/>
        <v>18446032.45</v>
      </c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ht="15.75" customHeight="1">
      <c r="A27" s="181" t="s">
        <v>651</v>
      </c>
      <c r="B27" s="199">
        <f>5.6%</f>
        <v>0.056</v>
      </c>
      <c r="C27" s="199">
        <f t="shared" ref="C27:E27" si="27">C26/C3</f>
        <v>0.05226212011</v>
      </c>
      <c r="D27" s="199">
        <f t="shared" si="27"/>
        <v>0.06268007727</v>
      </c>
      <c r="E27" s="199">
        <f t="shared" si="27"/>
        <v>0.07991451306</v>
      </c>
      <c r="F27" s="199">
        <f>10.2%</f>
        <v>0.102</v>
      </c>
      <c r="G27" s="199">
        <f>G26/$G$3</f>
        <v>0.09895890895</v>
      </c>
      <c r="H27" s="199">
        <f t="shared" ref="H27:L27" si="28">H26/H3</f>
        <v>0.1122177624</v>
      </c>
      <c r="I27" s="199">
        <f t="shared" si="28"/>
        <v>0.1143336229</v>
      </c>
      <c r="J27" s="199">
        <f t="shared" si="28"/>
        <v>0.1168986908</v>
      </c>
      <c r="K27" s="199">
        <f t="shared" si="28"/>
        <v>0.1194370427</v>
      </c>
      <c r="L27" s="199">
        <f t="shared" si="28"/>
        <v>0.1219467187</v>
      </c>
      <c r="M27" s="154"/>
      <c r="N27" s="187">
        <f>(L26/B26)^(1/(COUNT(B26:L26)))-1</f>
        <v>0.2523464413</v>
      </c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ht="15.75" customHeight="1">
      <c r="A28" s="183" t="s">
        <v>652</v>
      </c>
      <c r="B28" s="184"/>
      <c r="C28" s="185">
        <f t="shared" ref="C28:L28" si="29">C26/B26-1</f>
        <v>0.004413388564</v>
      </c>
      <c r="D28" s="185">
        <f t="shared" si="29"/>
        <v>0.4336112893</v>
      </c>
      <c r="E28" s="185">
        <f t="shared" si="29"/>
        <v>0.5736017897</v>
      </c>
      <c r="F28" s="185">
        <f t="shared" si="29"/>
        <v>0.5260238561</v>
      </c>
      <c r="G28" s="186">
        <f t="shared" si="29"/>
        <v>0.1122236863</v>
      </c>
      <c r="H28" s="193">
        <f t="shared" si="29"/>
        <v>0.3767385271</v>
      </c>
      <c r="I28" s="193">
        <f t="shared" si="29"/>
        <v>0.224</v>
      </c>
      <c r="J28" s="193">
        <f t="shared" si="29"/>
        <v>0.224</v>
      </c>
      <c r="K28" s="193">
        <f t="shared" si="29"/>
        <v>0.224</v>
      </c>
      <c r="L28" s="193">
        <f t="shared" si="29"/>
        <v>0.224</v>
      </c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15.75" customHeight="1">
      <c r="A29" s="200" t="s">
        <v>664</v>
      </c>
      <c r="B29" s="189">
        <v>39833.0</v>
      </c>
      <c r="C29" s="189">
        <v>52005.0</v>
      </c>
      <c r="D29" s="189">
        <v>74313.0</v>
      </c>
      <c r="E29" s="189">
        <v>108100.0</v>
      </c>
      <c r="F29" s="201">
        <v>145000.0</v>
      </c>
      <c r="G29" s="202">
        <f t="shared" ref="G29:L29" si="30">F29*(1+G30)</f>
        <v>174000</v>
      </c>
      <c r="H29" s="203">
        <f t="shared" si="30"/>
        <v>208800</v>
      </c>
      <c r="I29" s="203">
        <f t="shared" si="30"/>
        <v>250560</v>
      </c>
      <c r="J29" s="203">
        <f t="shared" si="30"/>
        <v>300672</v>
      </c>
      <c r="K29" s="203">
        <f t="shared" si="30"/>
        <v>360806.4</v>
      </c>
      <c r="L29" s="203">
        <f t="shared" si="30"/>
        <v>432967.68</v>
      </c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ht="15.75" customHeight="1">
      <c r="A30" s="183"/>
      <c r="B30" s="184"/>
      <c r="C30" s="185">
        <f t="shared" ref="C30:F30" si="31">C29/B29-1</f>
        <v>0.3055757789</v>
      </c>
      <c r="D30" s="185">
        <f t="shared" si="31"/>
        <v>0.428958754</v>
      </c>
      <c r="E30" s="185">
        <f t="shared" si="31"/>
        <v>0.4546580006</v>
      </c>
      <c r="F30" s="185">
        <f t="shared" si="31"/>
        <v>0.3413506013</v>
      </c>
      <c r="G30" s="186">
        <f t="shared" ref="G30:L30" si="32">20%</f>
        <v>0.2</v>
      </c>
      <c r="H30" s="186">
        <f t="shared" si="32"/>
        <v>0.2</v>
      </c>
      <c r="I30" s="186">
        <f t="shared" si="32"/>
        <v>0.2</v>
      </c>
      <c r="J30" s="186">
        <f t="shared" si="32"/>
        <v>0.2</v>
      </c>
      <c r="K30" s="186">
        <f t="shared" si="32"/>
        <v>0.2</v>
      </c>
      <c r="L30" s="186">
        <f t="shared" si="32"/>
        <v>0.2</v>
      </c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ht="15.75" customHeight="1">
      <c r="A31" s="200" t="s">
        <v>665</v>
      </c>
      <c r="B31" s="189">
        <f t="shared" ref="B31:F31" si="33">B26*10^6/B29</f>
        <v>38966428.84</v>
      </c>
      <c r="C31" s="189">
        <f t="shared" si="33"/>
        <v>29977886.74</v>
      </c>
      <c r="D31" s="189">
        <f t="shared" si="33"/>
        <v>30075491.5</v>
      </c>
      <c r="E31" s="189">
        <f t="shared" si="33"/>
        <v>32534690.1</v>
      </c>
      <c r="F31" s="201">
        <f t="shared" si="33"/>
        <v>37013971.74</v>
      </c>
      <c r="G31" s="202">
        <f t="shared" ref="G31:L31" si="34">F31*(1+G32)</f>
        <v>38587498.97</v>
      </c>
      <c r="H31" s="203">
        <f t="shared" si="34"/>
        <v>39359248.95</v>
      </c>
      <c r="I31" s="203">
        <f t="shared" si="34"/>
        <v>40146433.93</v>
      </c>
      <c r="J31" s="203">
        <f t="shared" si="34"/>
        <v>40949362.61</v>
      </c>
      <c r="K31" s="203">
        <f t="shared" si="34"/>
        <v>41768349.86</v>
      </c>
      <c r="L31" s="203">
        <f t="shared" si="34"/>
        <v>42603716.86</v>
      </c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 ht="15.75" customHeight="1">
      <c r="A32" s="183"/>
      <c r="B32" s="184"/>
      <c r="C32" s="185">
        <f t="shared" ref="C32:F32" si="35">C31/B31-1</f>
        <v>-0.2306740024</v>
      </c>
      <c r="D32" s="185">
        <f t="shared" si="35"/>
        <v>0.003255891963</v>
      </c>
      <c r="E32" s="185">
        <f t="shared" si="35"/>
        <v>0.0817675282</v>
      </c>
      <c r="F32" s="185">
        <f t="shared" si="35"/>
        <v>0.1376770955</v>
      </c>
      <c r="G32" s="193">
        <f>MEDIAN(C32:F32)</f>
        <v>0.04251171008</v>
      </c>
      <c r="H32" s="193">
        <f t="shared" ref="H32:L32" si="36">2%</f>
        <v>0.02</v>
      </c>
      <c r="I32" s="193">
        <f t="shared" si="36"/>
        <v>0.02</v>
      </c>
      <c r="J32" s="193">
        <f t="shared" si="36"/>
        <v>0.02</v>
      </c>
      <c r="K32" s="193">
        <f t="shared" si="36"/>
        <v>0.02</v>
      </c>
      <c r="L32" s="193">
        <f t="shared" si="36"/>
        <v>0.02</v>
      </c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 ht="15.75" customHeight="1">
      <c r="A33" s="154" t="s">
        <v>666</v>
      </c>
      <c r="B33" s="154"/>
      <c r="C33" s="154"/>
      <c r="D33" s="154"/>
      <c r="E33" s="154"/>
      <c r="F33" s="154"/>
      <c r="G33" s="208">
        <f t="shared" ref="G33:L33" si="37">1-SUM(G7,G17,G27)</f>
        <v>0</v>
      </c>
      <c r="H33" s="208">
        <f t="shared" si="37"/>
        <v>0</v>
      </c>
      <c r="I33" s="208">
        <f t="shared" si="37"/>
        <v>0</v>
      </c>
      <c r="J33" s="208">
        <f t="shared" si="37"/>
        <v>0</v>
      </c>
      <c r="K33" s="208">
        <f t="shared" si="37"/>
        <v>0</v>
      </c>
      <c r="L33" s="208">
        <f t="shared" si="37"/>
        <v>0</v>
      </c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 ht="15.75" customHeight="1">
      <c r="A34" s="154"/>
      <c r="B34" s="154"/>
      <c r="C34" s="154"/>
      <c r="D34" s="154"/>
      <c r="E34" s="154"/>
      <c r="F34" s="154"/>
      <c r="G34" s="110"/>
      <c r="H34" s="110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 ht="15.75" customHeight="1">
      <c r="A44" s="154"/>
      <c r="B44" s="154"/>
      <c r="C44" s="154"/>
      <c r="D44" s="154"/>
      <c r="E44" s="154"/>
      <c r="F44" s="154"/>
      <c r="G44" s="154">
        <f>1201*10^6*25000</f>
        <v>30025000000000</v>
      </c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 ht="15.75" customHeight="1">
      <c r="A45" s="154"/>
      <c r="B45" s="154"/>
      <c r="C45" s="154"/>
      <c r="D45" s="154"/>
      <c r="E45" s="154"/>
      <c r="F45" s="154"/>
      <c r="G45" s="154">
        <f>G44/10^6</f>
        <v>30025000</v>
      </c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</row>
    <row r="46" ht="15.75" customHeight="1">
      <c r="A46" s="154"/>
      <c r="B46" s="154"/>
      <c r="C46" s="154"/>
      <c r="D46" s="154"/>
      <c r="E46" s="154"/>
      <c r="F46" s="154"/>
      <c r="G46" s="110">
        <f>G22/G45</f>
        <v>0.02131557036</v>
      </c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 ht="15.75" customHeight="1">
      <c r="A48" s="154"/>
      <c r="B48" s="154"/>
      <c r="C48" s="154"/>
      <c r="D48" s="154"/>
      <c r="E48" s="154"/>
      <c r="F48" s="154"/>
      <c r="G48" s="169">
        <f>11.7%</f>
        <v>0.117</v>
      </c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 ht="15.75" customHeight="1">
      <c r="A49" s="154"/>
      <c r="B49" s="154"/>
      <c r="C49" s="154"/>
      <c r="D49" s="154"/>
      <c r="E49" s="154"/>
      <c r="F49" s="154"/>
      <c r="G49" s="169">
        <f>17.08%</f>
        <v>0.1708</v>
      </c>
      <c r="H49" s="154" t="s">
        <v>667</v>
      </c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 ht="15.75" customHeight="1">
      <c r="A61" s="154" t="s">
        <v>668</v>
      </c>
      <c r="B61" s="110">
        <v>0.16</v>
      </c>
      <c r="C61" s="154" t="s">
        <v>669</v>
      </c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 ht="15.75" customHeight="1">
      <c r="A62" s="154"/>
      <c r="B62" s="154"/>
      <c r="C62" s="154"/>
      <c r="D62" s="154"/>
      <c r="E62" s="154">
        <v>4.5559499E7</v>
      </c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 ht="15.75" customHeight="1">
      <c r="A64" s="154"/>
      <c r="B64" s="154"/>
      <c r="C64" s="154"/>
      <c r="D64" s="154"/>
      <c r="E64" s="154"/>
      <c r="F64" s="154"/>
      <c r="G64" s="179"/>
      <c r="H64" s="179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 ht="15.75" customHeight="1">
      <c r="A65" s="154"/>
      <c r="B65" s="154"/>
      <c r="C65" s="154"/>
      <c r="D65" s="154"/>
      <c r="E65" s="154" t="s">
        <v>224</v>
      </c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 ht="15.75" customHeight="1">
      <c r="A66" s="154" t="s">
        <v>670</v>
      </c>
      <c r="B66" s="209"/>
      <c r="C66" s="154"/>
      <c r="D66" s="154"/>
      <c r="E66" s="154">
        <v>1.827197359713793E7</v>
      </c>
      <c r="F66" s="154">
        <v>2.4288049E7</v>
      </c>
      <c r="G66" s="154">
        <v>2.2668E7</v>
      </c>
      <c r="H66" s="154">
        <v>3.0224E7</v>
      </c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</row>
    <row r="67" ht="15.75" customHeight="1">
      <c r="A67" s="154" t="s">
        <v>654</v>
      </c>
      <c r="B67" s="209"/>
      <c r="C67" s="154"/>
      <c r="D67" s="154"/>
      <c r="E67" s="154"/>
      <c r="F67" s="154"/>
      <c r="G67" s="154"/>
      <c r="H67" s="210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</row>
    <row r="68" ht="15.75" customHeight="1">
      <c r="A68" s="154" t="s">
        <v>671</v>
      </c>
      <c r="B68" s="209"/>
      <c r="C68" s="154"/>
      <c r="D68" s="154"/>
      <c r="E68" s="154"/>
      <c r="F68" s="154"/>
      <c r="G68" s="210">
        <v>0.39</v>
      </c>
      <c r="H68" s="169">
        <v>0.40103213879956107</v>
      </c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 ht="15.75" customHeight="1">
      <c r="A69" s="154" t="s">
        <v>672</v>
      </c>
      <c r="B69" s="209"/>
      <c r="C69" s="154"/>
      <c r="D69" s="154"/>
      <c r="E69" s="154"/>
      <c r="F69" s="154"/>
      <c r="G69" s="210">
        <v>0.25</v>
      </c>
      <c r="H69" s="169">
        <v>0.22289191427085944</v>
      </c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 ht="15.75" customHeight="1">
      <c r="A70" s="154" t="s">
        <v>673</v>
      </c>
      <c r="B70" s="209"/>
      <c r="C70" s="154"/>
      <c r="D70" s="154"/>
      <c r="E70" s="154"/>
      <c r="F70" s="154"/>
      <c r="G70" s="210">
        <v>0.09</v>
      </c>
      <c r="H70" s="169">
        <v>0.09968612196953651</v>
      </c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 ht="15.75" customHeight="1">
      <c r="A71" s="154" t="s">
        <v>674</v>
      </c>
      <c r="B71" s="209"/>
      <c r="C71" s="154"/>
      <c r="D71" s="154"/>
      <c r="E71" s="154"/>
      <c r="F71" s="154"/>
      <c r="G71" s="210">
        <v>0.27</v>
      </c>
      <c r="H71" s="169">
        <v>0.2763898249600431</v>
      </c>
      <c r="I71" s="154"/>
      <c r="J71" s="154"/>
      <c r="K71" s="154"/>
      <c r="L71" s="154"/>
      <c r="M71" s="210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 ht="15.75" customHeight="1">
      <c r="A72" s="154" t="s">
        <v>675</v>
      </c>
      <c r="B72" s="169"/>
      <c r="C72" s="110"/>
      <c r="D72" s="169"/>
      <c r="E72" s="123">
        <v>6614453.642333161</v>
      </c>
      <c r="F72" s="123">
        <v>7177455.798</v>
      </c>
      <c r="G72" s="123">
        <v>5296000.0</v>
      </c>
      <c r="H72" s="154">
        <v>7061333.333333333</v>
      </c>
      <c r="I72" s="210"/>
      <c r="J72" s="210"/>
      <c r="K72" s="210"/>
      <c r="L72" s="210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 ht="15.75" customHeight="1">
      <c r="A73" s="154" t="s">
        <v>654</v>
      </c>
      <c r="B73" s="209"/>
      <c r="C73" s="154"/>
      <c r="D73" s="154"/>
      <c r="E73" s="154"/>
      <c r="F73" s="154"/>
      <c r="G73" s="110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 ht="15.75" customHeight="1">
      <c r="A74" s="154"/>
      <c r="B74" s="154"/>
      <c r="C74" s="154"/>
      <c r="D74" s="154"/>
      <c r="E74" s="123">
        <v>1.3479486150806004E7</v>
      </c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 ht="15.75" customHeight="1">
      <c r="A75" s="154"/>
      <c r="B75" s="154"/>
      <c r="C75" s="154"/>
      <c r="D75" s="154"/>
      <c r="E75" s="123">
        <v>749048.278329663</v>
      </c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 ht="15.75" customHeight="1">
      <c r="A76" s="154"/>
      <c r="B76" s="154"/>
      <c r="C76" s="154"/>
      <c r="D76" s="154"/>
      <c r="E76" s="154">
        <f>SUM(E74:E75)</f>
        <v>14228534.43</v>
      </c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 ht="15.75" customHeight="1">
      <c r="A77" s="154"/>
      <c r="B77" s="154"/>
      <c r="C77" s="154"/>
      <c r="D77" s="154"/>
      <c r="E77" s="154"/>
      <c r="F77" s="154"/>
      <c r="G77" s="154"/>
      <c r="H77" s="207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 ht="15.75" customHeight="1">
      <c r="A86" s="154">
        <v>2019.0</v>
      </c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 ht="15.75" customHeight="1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 ht="15.75" customHeight="1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 ht="15.75" customHeight="1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 ht="15.75" customHeight="1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 ht="15.75" customHeight="1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 ht="15.75" customHeight="1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 ht="15.75" customHeight="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 ht="15.75" customHeight="1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 ht="15.75" customHeight="1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 ht="15.75" customHeight="1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 ht="15.75" customHeight="1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 ht="15.75" customHeight="1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 ht="15.75" customHeight="1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 ht="15.75" customHeight="1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 ht="15.75" customHeight="1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 ht="15.75" customHeight="1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 ht="15.75" customHeight="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 ht="15.75" customHeight="1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 ht="15.75" customHeight="1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 ht="15.75" customHeight="1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 ht="15.75" customHeight="1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 ht="15.75" customHeight="1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 ht="15.75" customHeight="1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 ht="15.75" customHeight="1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 ht="15.75" customHeight="1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 ht="15.75" customHeight="1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 ht="15.75" customHeight="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 ht="15.75" customHeight="1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 ht="15.75" customHeight="1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 ht="15.75" customHeight="1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 ht="15.75" customHeight="1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 ht="15.75" customHeight="1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 ht="15.75" customHeight="1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 ht="15.75" customHeight="1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 ht="15.75" customHeight="1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 ht="15.75" customHeight="1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 ht="15.75" customHeight="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 ht="15.75" customHeight="1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 ht="15.75" customHeight="1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 ht="15.75" customHeight="1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 ht="15.75" customHeight="1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 ht="15.75" customHeight="1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 ht="15.75" customHeight="1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 ht="15.75" customHeight="1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 ht="15.75" customHeight="1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 ht="15.75" customHeight="1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 ht="15.75" customHeight="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 ht="15.75" customHeight="1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 ht="15.75" customHeight="1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 ht="15.75" customHeight="1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 ht="15.75" customHeight="1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 ht="15.75" customHeight="1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 ht="15.75" customHeight="1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 ht="15.75" customHeight="1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 ht="15.75" customHeight="1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 ht="15.75" customHeight="1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 ht="15.75" customHeight="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 ht="15.75" customHeight="1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 ht="15.75" customHeight="1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 ht="15.75" customHeight="1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 ht="15.75" customHeight="1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 ht="15.75" customHeight="1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 ht="15.75" customHeight="1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 ht="15.75" customHeight="1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 ht="15.75" customHeight="1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 ht="15.75" customHeight="1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 ht="15.75" customHeight="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 ht="15.75" customHeight="1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 ht="15.75" customHeight="1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 ht="15.75" customHeight="1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 ht="15.75" customHeight="1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 ht="15.75" customHeight="1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 ht="15.75" customHeight="1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 ht="15.75" customHeight="1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 ht="15.75" customHeight="1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 ht="15.75" customHeight="1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 ht="15.75" customHeight="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 ht="15.75" customHeight="1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 ht="15.75" customHeight="1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 ht="15.75" customHeight="1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 ht="15.75" customHeight="1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 ht="15.75" customHeight="1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 ht="15.75" customHeight="1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 ht="15.75" customHeight="1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 ht="15.75" customHeight="1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 ht="15.75" customHeight="1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</sheetData>
  <mergeCells count="2">
    <mergeCell ref="B1:F1"/>
    <mergeCell ref="G1:L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6" width="17.14"/>
  </cols>
  <sheetData>
    <row r="1">
      <c r="A1" s="211"/>
      <c r="B1" s="212">
        <f>'Revenue breakdown'!B9</f>
        <v>10835592.24</v>
      </c>
      <c r="C1" s="212">
        <f>'Revenue breakdown'!C9</f>
        <v>12002877</v>
      </c>
      <c r="D1" s="212">
        <f>'Revenue breakdown'!D9</f>
        <v>14540759</v>
      </c>
      <c r="E1" s="212">
        <f>'Revenue breakdown'!E9</f>
        <v>19177406</v>
      </c>
      <c r="F1" s="212">
        <f>'Revenue breakdown'!F9</f>
        <v>24740498.8</v>
      </c>
      <c r="G1" s="212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</row>
    <row r="2">
      <c r="A2" s="213" t="s">
        <v>676</v>
      </c>
      <c r="B2" s="214">
        <f>'Revenue breakdown'!B2</f>
        <v>2019</v>
      </c>
      <c r="C2" s="214">
        <f>'Revenue breakdown'!C2</f>
        <v>2020</v>
      </c>
      <c r="D2" s="214">
        <f>'Revenue breakdown'!D2</f>
        <v>2021</v>
      </c>
      <c r="E2" s="214">
        <f>'Revenue breakdown'!E2</f>
        <v>2022</v>
      </c>
      <c r="F2" s="214">
        <f>'Revenue breakdown'!F2</f>
        <v>2023</v>
      </c>
      <c r="G2" s="215" t="str">
        <f>'Revenue breakdown'!G2</f>
        <v>2024F</v>
      </c>
      <c r="H2" s="215" t="str">
        <f>'Revenue breakdown'!H2</f>
        <v>2025F</v>
      </c>
      <c r="I2" s="215" t="str">
        <f>'Revenue breakdown'!I2</f>
        <v>2026F</v>
      </c>
      <c r="J2" s="215" t="str">
        <f>'Revenue breakdown'!J2</f>
        <v>2027F</v>
      </c>
      <c r="K2" s="215" t="str">
        <f>'Revenue breakdown'!K2</f>
        <v>2028F</v>
      </c>
      <c r="L2" s="215" t="str">
        <f>'Revenue breakdown'!L2</f>
        <v>2029F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216" t="s">
        <v>671</v>
      </c>
      <c r="B3" s="217">
        <v>0.51</v>
      </c>
      <c r="C3" s="218">
        <f>50%</f>
        <v>0.5</v>
      </c>
      <c r="D3" s="217">
        <f>(D1-(D1*SUM(D4:D6)))/D1</f>
        <v>0.43422679</v>
      </c>
      <c r="E3" s="217">
        <f t="shared" ref="E3:F3" si="1">1-SUM(E4:E6)</f>
        <v>0.3946062777</v>
      </c>
      <c r="F3" s="217">
        <f t="shared" si="1"/>
        <v>0.439493752</v>
      </c>
      <c r="G3" s="219"/>
      <c r="H3" s="217"/>
      <c r="I3" s="217"/>
      <c r="J3" s="217"/>
      <c r="K3" s="217"/>
      <c r="L3" s="217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</row>
    <row r="4">
      <c r="A4" s="216" t="s">
        <v>672</v>
      </c>
      <c r="B4" s="217">
        <v>0.25</v>
      </c>
      <c r="C4" s="218">
        <v>0.24</v>
      </c>
      <c r="D4" s="217">
        <f>(C4*$C$1*1.52)/$D$1</f>
        <v>0.3011293654</v>
      </c>
      <c r="E4" s="217">
        <f>(D4*$D$1*1.5)/$E$1</f>
        <v>0.3424850209</v>
      </c>
      <c r="F4" s="217">
        <f>(E4*$E$1*1.086)/$F$1</f>
        <v>0.2883054275</v>
      </c>
      <c r="G4" s="219"/>
      <c r="H4" s="217"/>
      <c r="I4" s="217"/>
      <c r="J4" s="217"/>
      <c r="K4" s="217"/>
      <c r="L4" s="217"/>
      <c r="M4" s="211"/>
      <c r="N4" s="220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</row>
    <row r="5">
      <c r="A5" s="216" t="s">
        <v>673</v>
      </c>
      <c r="B5" s="217">
        <v>0.09</v>
      </c>
      <c r="C5" s="217">
        <v>0.08</v>
      </c>
      <c r="D5" s="217">
        <f>(C5*$C$1*1.15)/$D$1</f>
        <v>0.07594271276</v>
      </c>
      <c r="E5" s="217">
        <f>(D5*$D$1*1.194)/$E$1</f>
        <v>0.06875236582</v>
      </c>
      <c r="F5" s="217">
        <f>(E5*$E$1*1.219)/$F$1</f>
        <v>0.06496400097</v>
      </c>
      <c r="G5" s="219"/>
      <c r="H5" s="217"/>
      <c r="I5" s="217"/>
      <c r="J5" s="217"/>
      <c r="K5" s="217"/>
      <c r="L5" s="217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</row>
    <row r="6">
      <c r="A6" s="216" t="s">
        <v>674</v>
      </c>
      <c r="B6" s="217">
        <v>0.15</v>
      </c>
      <c r="C6" s="217">
        <v>0.18</v>
      </c>
      <c r="D6" s="217">
        <f>(C6*$C$1*1.27)/$D$1</f>
        <v>0.1887011319</v>
      </c>
      <c r="E6" s="217">
        <f>(D6*$D$1*1.357)/$E$1</f>
        <v>0.1941563356</v>
      </c>
      <c r="F6" s="217">
        <f>(E6*$E$1*1.377)/$F$1</f>
        <v>0.2072368195</v>
      </c>
      <c r="G6" s="219"/>
      <c r="H6" s="217"/>
      <c r="I6" s="217"/>
      <c r="J6" s="217"/>
      <c r="K6" s="217"/>
      <c r="L6" s="217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</row>
    <row r="7">
      <c r="A7" s="221" t="s">
        <v>677</v>
      </c>
      <c r="B7" s="222">
        <f t="shared" ref="B7:G7" si="2">SUM(B3:B6)</f>
        <v>1</v>
      </c>
      <c r="C7" s="222">
        <f t="shared" si="2"/>
        <v>1</v>
      </c>
      <c r="D7" s="222">
        <f t="shared" si="2"/>
        <v>1</v>
      </c>
      <c r="E7" s="222">
        <f t="shared" si="2"/>
        <v>1</v>
      </c>
      <c r="F7" s="222">
        <f t="shared" si="2"/>
        <v>1</v>
      </c>
      <c r="G7" s="222">
        <f t="shared" si="2"/>
        <v>0</v>
      </c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</row>
    <row r="8">
      <c r="A8" s="211"/>
      <c r="B8" s="223">
        <f t="shared" ref="B8:D8" si="3">B7-1</f>
        <v>0</v>
      </c>
      <c r="C8" s="223">
        <f t="shared" si="3"/>
        <v>0</v>
      </c>
      <c r="D8" s="224">
        <f t="shared" si="3"/>
        <v>0</v>
      </c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</row>
    <row r="9">
      <c r="A9" s="213" t="s">
        <v>676</v>
      </c>
      <c r="B9" s="214">
        <f t="shared" ref="B9:L9" si="4">B2</f>
        <v>2019</v>
      </c>
      <c r="C9" s="214">
        <f t="shared" si="4"/>
        <v>2020</v>
      </c>
      <c r="D9" s="214">
        <f t="shared" si="4"/>
        <v>2021</v>
      </c>
      <c r="E9" s="214">
        <f t="shared" si="4"/>
        <v>2022</v>
      </c>
      <c r="F9" s="214">
        <f t="shared" si="4"/>
        <v>2023</v>
      </c>
      <c r="G9" s="215" t="str">
        <f t="shared" si="4"/>
        <v>2024F</v>
      </c>
      <c r="H9" s="215" t="str">
        <f t="shared" si="4"/>
        <v>2025F</v>
      </c>
      <c r="I9" s="215" t="str">
        <f t="shared" si="4"/>
        <v>2026F</v>
      </c>
      <c r="J9" s="215" t="str">
        <f t="shared" si="4"/>
        <v>2027F</v>
      </c>
      <c r="K9" s="215" t="str">
        <f t="shared" si="4"/>
        <v>2028F</v>
      </c>
      <c r="L9" s="215" t="str">
        <f t="shared" si="4"/>
        <v>2029F</v>
      </c>
      <c r="M9" s="211"/>
      <c r="N9" s="211" t="s">
        <v>678</v>
      </c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</row>
    <row r="10">
      <c r="A10" s="216" t="s">
        <v>671</v>
      </c>
      <c r="B10" s="225">
        <f>B3*$B$1</f>
        <v>5526152.042</v>
      </c>
      <c r="C10" s="225">
        <f>C3*$C$1</f>
        <v>6001438.5</v>
      </c>
      <c r="D10" s="225">
        <f>D3*$D$1</f>
        <v>6313987.104</v>
      </c>
      <c r="E10" s="225">
        <f>E3*$E$1</f>
        <v>7567524.798</v>
      </c>
      <c r="F10" s="225">
        <f>F3*$F$1</f>
        <v>10873294.64</v>
      </c>
      <c r="G10" s="225">
        <f t="shared" ref="G10:L10" si="5">F10*(1+G11)</f>
        <v>12975797.06</v>
      </c>
      <c r="H10" s="225">
        <f t="shared" si="5"/>
        <v>15484847.5</v>
      </c>
      <c r="I10" s="225">
        <f t="shared" si="5"/>
        <v>18811539.37</v>
      </c>
      <c r="J10" s="225">
        <f t="shared" si="5"/>
        <v>23465261.6</v>
      </c>
      <c r="K10" s="225">
        <f t="shared" si="5"/>
        <v>29499522.42</v>
      </c>
      <c r="L10" s="225">
        <f t="shared" si="5"/>
        <v>36025447.02</v>
      </c>
      <c r="M10" s="226">
        <f>(L10/F10)^(1/(COUNT(F10:L10)))-1</f>
        <v>0.1866459861</v>
      </c>
      <c r="N10" s="226">
        <f>F10/$F$1</f>
        <v>0.439493752</v>
      </c>
      <c r="O10" s="227"/>
      <c r="P10" s="227">
        <f>N10*F11+N12*F13+N14*F15+N16*F17</f>
        <v>0.3091365066</v>
      </c>
      <c r="Q10" s="211"/>
      <c r="R10" s="211"/>
      <c r="S10" s="211"/>
      <c r="T10" s="211"/>
      <c r="U10" s="211"/>
      <c r="V10" s="211"/>
      <c r="W10" s="211"/>
      <c r="X10" s="211"/>
      <c r="Y10" s="211"/>
      <c r="Z10" s="211"/>
    </row>
    <row r="11">
      <c r="A11" s="228" t="s">
        <v>654</v>
      </c>
      <c r="B11" s="225"/>
      <c r="C11" s="229">
        <f t="shared" ref="C11:F11" si="6">C10/B10-1</f>
        <v>0.08600676455</v>
      </c>
      <c r="D11" s="229">
        <f t="shared" si="6"/>
        <v>0.05207894811</v>
      </c>
      <c r="E11" s="229">
        <f t="shared" si="6"/>
        <v>0.1985334581</v>
      </c>
      <c r="F11" s="229">
        <f t="shared" si="6"/>
        <v>0.4368363413</v>
      </c>
      <c r="G11" s="230">
        <f t="shared" ref="G11:L11" si="7">AVERAGE(B11:F11)</f>
        <v>0.193363878</v>
      </c>
      <c r="H11" s="230">
        <f t="shared" si="7"/>
        <v>0.193363878</v>
      </c>
      <c r="I11" s="230">
        <f t="shared" si="7"/>
        <v>0.2148353007</v>
      </c>
      <c r="J11" s="230">
        <f t="shared" si="7"/>
        <v>0.2473865712</v>
      </c>
      <c r="K11" s="230">
        <f t="shared" si="7"/>
        <v>0.2571571939</v>
      </c>
      <c r="L11" s="230">
        <f t="shared" si="7"/>
        <v>0.2212213644</v>
      </c>
      <c r="M11" s="211"/>
      <c r="N11" s="226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</row>
    <row r="12">
      <c r="A12" s="216" t="s">
        <v>672</v>
      </c>
      <c r="B12" s="225">
        <f>B4*$B$1</f>
        <v>2708898.06</v>
      </c>
      <c r="C12" s="225">
        <f>C4*$C$1</f>
        <v>2880690.48</v>
      </c>
      <c r="D12" s="225">
        <f>D4*$D$1</f>
        <v>4378649.53</v>
      </c>
      <c r="E12" s="225">
        <f>E4*$E$1</f>
        <v>6567974.294</v>
      </c>
      <c r="F12" s="225">
        <f>F4*$F$1</f>
        <v>7132820.084</v>
      </c>
      <c r="G12" s="225">
        <f t="shared" ref="G12:L12" si="8">F12*(1+G13)</f>
        <v>9218131.819</v>
      </c>
      <c r="H12" s="225">
        <f t="shared" si="8"/>
        <v>11913093.73</v>
      </c>
      <c r="I12" s="225">
        <f t="shared" si="8"/>
        <v>15941408.48</v>
      </c>
      <c r="J12" s="225">
        <f t="shared" si="8"/>
        <v>20752049.53</v>
      </c>
      <c r="K12" s="225">
        <f t="shared" si="8"/>
        <v>26191663.22</v>
      </c>
      <c r="L12" s="225">
        <f t="shared" si="8"/>
        <v>33979728.09</v>
      </c>
      <c r="M12" s="226">
        <f>(L12/F12)^(1/(COUNT(F12:L12)))-1</f>
        <v>0.2498308284</v>
      </c>
      <c r="N12" s="226">
        <f>F12/$F$1</f>
        <v>0.2883054275</v>
      </c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</row>
    <row r="13">
      <c r="A13" s="228" t="s">
        <v>654</v>
      </c>
      <c r="B13" s="225"/>
      <c r="C13" s="229">
        <f t="shared" ref="C13:F13" si="9">C12/B12-1</f>
        <v>0.06341782385</v>
      </c>
      <c r="D13" s="229">
        <f t="shared" si="9"/>
        <v>0.52</v>
      </c>
      <c r="E13" s="229">
        <f t="shared" si="9"/>
        <v>0.5</v>
      </c>
      <c r="F13" s="229">
        <f t="shared" si="9"/>
        <v>0.086</v>
      </c>
      <c r="G13" s="230">
        <f t="shared" ref="G13:L13" si="10">AVERAGE(B13:F13)</f>
        <v>0.292354456</v>
      </c>
      <c r="H13" s="230">
        <f t="shared" si="10"/>
        <v>0.292354456</v>
      </c>
      <c r="I13" s="230">
        <f t="shared" si="10"/>
        <v>0.3381417824</v>
      </c>
      <c r="J13" s="230">
        <f t="shared" si="10"/>
        <v>0.3017701389</v>
      </c>
      <c r="K13" s="230">
        <f t="shared" si="10"/>
        <v>0.2621241666</v>
      </c>
      <c r="L13" s="230">
        <f t="shared" si="10"/>
        <v>0.297349</v>
      </c>
      <c r="M13" s="211"/>
      <c r="N13" s="226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</row>
    <row r="14">
      <c r="A14" s="216" t="s">
        <v>673</v>
      </c>
      <c r="B14" s="225">
        <f>B5*$B$1</f>
        <v>975203.3016</v>
      </c>
      <c r="C14" s="225">
        <f>C5*$C$1</f>
        <v>960230.16</v>
      </c>
      <c r="D14" s="225">
        <f>D5*$D$1</f>
        <v>1104264.684</v>
      </c>
      <c r="E14" s="225">
        <f>E5*$E$1</f>
        <v>1318492.033</v>
      </c>
      <c r="F14" s="225">
        <f>F5*$F$1</f>
        <v>1607241.788</v>
      </c>
      <c r="G14" s="225">
        <f t="shared" ref="G14:L14" si="11">F14*(1+G15)</f>
        <v>1827291.725</v>
      </c>
      <c r="H14" s="225">
        <f t="shared" si="11"/>
        <v>2077469.037</v>
      </c>
      <c r="I14" s="225">
        <f t="shared" si="11"/>
        <v>2425163.839</v>
      </c>
      <c r="J14" s="225">
        <f t="shared" si="11"/>
        <v>2839472.854</v>
      </c>
      <c r="K14" s="225">
        <f t="shared" si="11"/>
        <v>3311407.562</v>
      </c>
      <c r="L14" s="225">
        <f t="shared" si="11"/>
        <v>3826815.076</v>
      </c>
      <c r="M14" s="226">
        <f>(L14/F14)^(1/(COUNT(F14:L14)))-1</f>
        <v>0.1319371743</v>
      </c>
      <c r="N14" s="226">
        <f>F14/$F$1</f>
        <v>0.06496400097</v>
      </c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>
      <c r="A15" s="228" t="s">
        <v>654</v>
      </c>
      <c r="B15" s="225"/>
      <c r="C15" s="229">
        <f t="shared" ref="C15:F15" si="12">C14/B14-1</f>
        <v>-0.0153538668</v>
      </c>
      <c r="D15" s="229">
        <f t="shared" si="12"/>
        <v>0.15</v>
      </c>
      <c r="E15" s="229">
        <f t="shared" si="12"/>
        <v>0.194</v>
      </c>
      <c r="F15" s="229">
        <f t="shared" si="12"/>
        <v>0.219</v>
      </c>
      <c r="G15" s="230">
        <f t="shared" ref="G15:L15" si="13">AVERAGE(B15:F15)</f>
        <v>0.1369115333</v>
      </c>
      <c r="H15" s="230">
        <f t="shared" si="13"/>
        <v>0.1369115333</v>
      </c>
      <c r="I15" s="230">
        <f t="shared" si="13"/>
        <v>0.1673646133</v>
      </c>
      <c r="J15" s="230">
        <f t="shared" si="13"/>
        <v>0.170837536</v>
      </c>
      <c r="K15" s="230">
        <f t="shared" si="13"/>
        <v>0.1662050432</v>
      </c>
      <c r="L15" s="230">
        <f t="shared" si="13"/>
        <v>0.1556460518</v>
      </c>
      <c r="M15" s="211"/>
      <c r="N15" s="226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>
      <c r="A16" s="216" t="s">
        <v>674</v>
      </c>
      <c r="B16" s="225">
        <f>B6*$B$1</f>
        <v>1625338.836</v>
      </c>
      <c r="C16" s="225">
        <f>C6*$C$1</f>
        <v>2160517.86</v>
      </c>
      <c r="D16" s="225">
        <f>D6*$D$1</f>
        <v>2743857.682</v>
      </c>
      <c r="E16" s="225">
        <f>E6*$E$1</f>
        <v>3723414.875</v>
      </c>
      <c r="F16" s="225">
        <f>F6*$F$1</f>
        <v>5127142.283</v>
      </c>
      <c r="G16" s="225">
        <f t="shared" ref="G16:L16" si="14">F16*(1+G17)</f>
        <v>6836111.453</v>
      </c>
      <c r="H16" s="225">
        <f t="shared" si="14"/>
        <v>9114710.928</v>
      </c>
      <c r="I16" s="225">
        <f t="shared" si="14"/>
        <v>12160184.02</v>
      </c>
      <c r="J16" s="225">
        <f t="shared" si="14"/>
        <v>16379192.38</v>
      </c>
      <c r="K16" s="225">
        <f t="shared" si="14"/>
        <v>22029083.55</v>
      </c>
      <c r="L16" s="225">
        <f t="shared" si="14"/>
        <v>29486629.96</v>
      </c>
      <c r="M16" s="226">
        <f>(L16/F16)^(1/(COUNT(F16:L16)))-1</f>
        <v>0.2839132519</v>
      </c>
      <c r="N16" s="226">
        <f>F16/$F$1</f>
        <v>0.2072368195</v>
      </c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</row>
    <row r="17">
      <c r="A17" s="228" t="s">
        <v>654</v>
      </c>
      <c r="B17" s="225"/>
      <c r="C17" s="229">
        <f t="shared" ref="C17:F17" si="15">C16/B16-1</f>
        <v>0.3292722798</v>
      </c>
      <c r="D17" s="229">
        <f t="shared" si="15"/>
        <v>0.27</v>
      </c>
      <c r="E17" s="229">
        <f t="shared" si="15"/>
        <v>0.357</v>
      </c>
      <c r="F17" s="229">
        <f t="shared" si="15"/>
        <v>0.377</v>
      </c>
      <c r="G17" s="230">
        <f t="shared" ref="G17:L17" si="16">AVERAGE(B17:F17)</f>
        <v>0.33331807</v>
      </c>
      <c r="H17" s="230">
        <f t="shared" si="16"/>
        <v>0.33331807</v>
      </c>
      <c r="I17" s="230">
        <f t="shared" si="16"/>
        <v>0.334127228</v>
      </c>
      <c r="J17" s="230">
        <f t="shared" si="16"/>
        <v>0.3469526736</v>
      </c>
      <c r="K17" s="230">
        <f t="shared" si="16"/>
        <v>0.3449432083</v>
      </c>
      <c r="L17" s="230">
        <f t="shared" si="16"/>
        <v>0.33853185</v>
      </c>
      <c r="M17" s="211"/>
      <c r="N17" s="223">
        <f>1-SUM(N10:N16)</f>
        <v>0</v>
      </c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</row>
    <row r="18">
      <c r="A18" s="211"/>
      <c r="B18" s="223"/>
      <c r="C18" s="223"/>
      <c r="D18" s="224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</row>
    <row r="19">
      <c r="A19" s="211"/>
      <c r="B19" s="223">
        <f t="shared" ref="B19:E19" si="17">E9</f>
        <v>2022</v>
      </c>
      <c r="C19" s="223">
        <f t="shared" si="17"/>
        <v>2023</v>
      </c>
      <c r="D19" s="223" t="str">
        <f t="shared" si="17"/>
        <v>2024F</v>
      </c>
      <c r="E19" s="223" t="str">
        <f t="shared" si="17"/>
        <v>2025F</v>
      </c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</row>
    <row r="20">
      <c r="A20" s="211" t="s">
        <v>679</v>
      </c>
      <c r="B20" s="226">
        <v>0.08</v>
      </c>
      <c r="C20" s="226">
        <v>0.14</v>
      </c>
      <c r="D20" s="226">
        <v>0.2</v>
      </c>
      <c r="E20" s="226">
        <v>0.25</v>
      </c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</row>
    <row r="21" ht="15.75" customHeight="1">
      <c r="A21" s="211"/>
      <c r="B21" s="226"/>
      <c r="C21" s="226">
        <f t="shared" ref="C21:E21" si="18">C20/B20-1</f>
        <v>0.75</v>
      </c>
      <c r="D21" s="226">
        <f t="shared" si="18"/>
        <v>0.4285714286</v>
      </c>
      <c r="E21" s="226">
        <f t="shared" si="18"/>
        <v>0.25</v>
      </c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</row>
    <row r="22" ht="15.75" customHeight="1">
      <c r="A22" s="211" t="s">
        <v>680</v>
      </c>
      <c r="B22" s="226">
        <v>0.85</v>
      </c>
      <c r="C22" s="226">
        <v>0.9</v>
      </c>
      <c r="D22" s="226">
        <v>0.95</v>
      </c>
      <c r="E22" s="226">
        <v>1.0</v>
      </c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</row>
    <row r="23" ht="15.75" customHeight="1">
      <c r="A23" s="211"/>
      <c r="B23" s="226"/>
      <c r="C23" s="226">
        <f t="shared" ref="C23:E23" si="19">C22/B22-1</f>
        <v>0.05882352941</v>
      </c>
      <c r="D23" s="226">
        <f t="shared" si="19"/>
        <v>0.05555555556</v>
      </c>
      <c r="E23" s="226">
        <f t="shared" si="19"/>
        <v>0.05263157895</v>
      </c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</row>
    <row r="24" ht="15.75" customHeight="1">
      <c r="A24" s="211" t="s">
        <v>681</v>
      </c>
      <c r="B24" s="226">
        <v>0.74</v>
      </c>
      <c r="C24" s="226">
        <v>0.76</v>
      </c>
      <c r="D24" s="226">
        <v>0.78</v>
      </c>
      <c r="E24" s="226">
        <v>0.8</v>
      </c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</row>
    <row r="25" ht="15.75" customHeight="1">
      <c r="A25" s="211"/>
      <c r="B25" s="226"/>
      <c r="C25" s="226">
        <f t="shared" ref="C25:E25" si="20">C24/B24-1</f>
        <v>0.02702702703</v>
      </c>
      <c r="D25" s="226">
        <f t="shared" si="20"/>
        <v>0.02631578947</v>
      </c>
      <c r="E25" s="226">
        <f t="shared" si="20"/>
        <v>0.02564102564</v>
      </c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</row>
    <row r="26" ht="15.75" customHeight="1">
      <c r="A26" s="211"/>
      <c r="B26" s="223"/>
      <c r="C26" s="231">
        <f t="shared" ref="C26:E26" si="21">AVERAGE(C21,C23,C25)</f>
        <v>0.2786168521</v>
      </c>
      <c r="D26" s="231">
        <f t="shared" si="21"/>
        <v>0.1701475912</v>
      </c>
      <c r="E26" s="231">
        <f t="shared" si="21"/>
        <v>0.1094242015</v>
      </c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</row>
    <row r="27" ht="15.75" customHeight="1">
      <c r="A27" s="211" t="s">
        <v>682</v>
      </c>
      <c r="B27" s="223" t="s">
        <v>683</v>
      </c>
      <c r="C27" s="223"/>
      <c r="D27" s="223">
        <f>6.3*10^3*25000</f>
        <v>157500000</v>
      </c>
      <c r="E27" s="223">
        <f t="shared" ref="E27:L27" si="22">D27*1.01</f>
        <v>159075000</v>
      </c>
      <c r="F27" s="223">
        <f t="shared" si="22"/>
        <v>160665750</v>
      </c>
      <c r="G27" s="223">
        <f t="shared" si="22"/>
        <v>162272407.5</v>
      </c>
      <c r="H27" s="223">
        <f t="shared" si="22"/>
        <v>163895131.6</v>
      </c>
      <c r="I27" s="223">
        <f t="shared" si="22"/>
        <v>165534082.9</v>
      </c>
      <c r="J27" s="223">
        <f t="shared" si="22"/>
        <v>167189423.7</v>
      </c>
      <c r="K27" s="223">
        <f t="shared" si="22"/>
        <v>168861318</v>
      </c>
      <c r="L27" s="223">
        <f t="shared" si="22"/>
        <v>170549931.1</v>
      </c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</row>
    <row r="28" ht="15.75" customHeight="1">
      <c r="A28" s="211"/>
      <c r="B28" s="223"/>
      <c r="C28" s="223"/>
      <c r="D28" s="224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</row>
    <row r="29" ht="15.75" customHeight="1">
      <c r="A29" s="211"/>
      <c r="B29" s="223"/>
      <c r="C29" s="223"/>
      <c r="D29" s="224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</row>
    <row r="30" ht="15.75" customHeight="1">
      <c r="A30" s="211"/>
      <c r="B30" s="223"/>
      <c r="C30" s="223"/>
      <c r="D30" s="224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</row>
    <row r="31" ht="15.75" customHeight="1">
      <c r="A31" s="211"/>
      <c r="B31" s="223"/>
      <c r="C31" s="223"/>
      <c r="D31" s="224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</row>
    <row r="32" ht="15.75" customHeight="1">
      <c r="A32" s="211"/>
      <c r="B32" s="223"/>
      <c r="C32" s="223"/>
      <c r="D32" s="224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</row>
    <row r="33" ht="15.75" customHeight="1">
      <c r="A33" s="211"/>
      <c r="B33" s="223"/>
      <c r="C33" s="223"/>
      <c r="D33" s="224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</row>
    <row r="34" ht="15.75" customHeight="1">
      <c r="A34" s="211"/>
      <c r="B34" s="223"/>
      <c r="C34" s="223"/>
      <c r="D34" s="224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</row>
    <row r="35" ht="15.75" customHeight="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</row>
    <row r="36" ht="15.75" customHeight="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</row>
    <row r="37" ht="15.75" customHeight="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</row>
    <row r="38" ht="15.75" customHeight="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</row>
    <row r="39" ht="15.75" customHeight="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</row>
    <row r="40" ht="15.75" customHeight="1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</row>
    <row r="41" ht="15.75" customHeight="1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</row>
    <row r="42" ht="15.75" customHeight="1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</row>
    <row r="43" ht="15.75" customHeight="1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</row>
    <row r="44" ht="15.75" customHeight="1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</row>
    <row r="45" ht="15.75" customHeight="1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</row>
    <row r="46" ht="15.75" customHeight="1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</row>
    <row r="47" ht="15.75" customHeight="1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</row>
    <row r="48" ht="15.75" customHeight="1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</row>
    <row r="49" ht="15.75" customHeight="1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</row>
    <row r="50" ht="15.75" customHeight="1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</row>
    <row r="51" ht="15.75" customHeight="1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</row>
    <row r="52" ht="15.75" customHeight="1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</row>
    <row r="53" ht="15.75" customHeight="1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</row>
    <row r="54" ht="15.75" customHeight="1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</row>
    <row r="55" ht="15.75" customHeight="1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</row>
    <row r="56" ht="15.75" customHeight="1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</row>
    <row r="57" ht="15.75" customHeight="1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</row>
    <row r="58" ht="15.75" customHeight="1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</row>
    <row r="59" ht="15.75" customHeight="1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</row>
    <row r="60" ht="15.75" customHeight="1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</row>
    <row r="61" ht="15.75" customHeight="1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</row>
    <row r="62" ht="15.75" customHeight="1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</row>
    <row r="63" ht="15.75" customHeight="1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</row>
    <row r="64" ht="15.75" customHeight="1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</row>
    <row r="65" ht="15.75" customHeight="1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</row>
    <row r="66" ht="15.75" customHeight="1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</row>
    <row r="67" ht="15.75" customHeight="1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</row>
    <row r="68" ht="15.75" customHeight="1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</row>
    <row r="69" ht="15.75" customHeight="1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</row>
    <row r="70" ht="15.75" customHeight="1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</row>
    <row r="71" ht="15.75" customHeight="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</row>
    <row r="72" ht="15.75" customHeight="1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</row>
    <row r="73" ht="15.75" customHeight="1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</row>
    <row r="74" ht="15.75" customHeight="1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</row>
    <row r="75" ht="15.75" customHeight="1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</row>
    <row r="76" ht="15.75" customHeight="1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</row>
    <row r="77" ht="15.75" customHeight="1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</row>
    <row r="78" ht="15.75" customHeight="1">
      <c r="A78" s="232" t="s">
        <v>684</v>
      </c>
      <c r="B78" s="232">
        <v>2024.0</v>
      </c>
      <c r="C78" s="232">
        <v>2025.0</v>
      </c>
      <c r="D78" s="232">
        <v>2026.0</v>
      </c>
      <c r="E78" s="232">
        <v>2027.0</v>
      </c>
      <c r="F78" s="232">
        <v>2028.0</v>
      </c>
      <c r="G78" s="232">
        <v>2029.0</v>
      </c>
      <c r="H78" s="211"/>
      <c r="I78" s="107" t="s">
        <v>685</v>
      </c>
      <c r="J78" s="233">
        <v>0.0014103672624700568</v>
      </c>
      <c r="K78" s="233">
        <v>0.0014712637556503851</v>
      </c>
      <c r="L78" s="233">
        <v>0.0015296056739005574</v>
      </c>
      <c r="M78" s="233">
        <v>0.001574840443797142</v>
      </c>
      <c r="N78" s="233">
        <v>0.0016194740351801315</v>
      </c>
      <c r="O78" s="233">
        <v>0.0016662380523766666</v>
      </c>
      <c r="P78" s="94"/>
      <c r="Q78" s="94"/>
      <c r="R78" s="211"/>
      <c r="S78" s="211"/>
      <c r="T78" s="211"/>
      <c r="U78" s="211"/>
      <c r="V78" s="211"/>
      <c r="W78" s="211"/>
      <c r="X78" s="211"/>
      <c r="Y78" s="211"/>
      <c r="Z78" s="211"/>
    </row>
    <row r="79" ht="15.75" customHeight="1">
      <c r="A79" s="234" t="s">
        <v>686</v>
      </c>
      <c r="B79" s="234">
        <v>0.13</v>
      </c>
      <c r="C79" s="234">
        <v>0.14</v>
      </c>
      <c r="D79" s="234">
        <v>0.15</v>
      </c>
      <c r="E79" s="234">
        <v>0.16</v>
      </c>
      <c r="F79" s="234">
        <v>0.17</v>
      </c>
      <c r="G79" s="234">
        <v>0.18</v>
      </c>
      <c r="H79" s="211"/>
      <c r="I79" s="107" t="s">
        <v>652</v>
      </c>
      <c r="J79" s="233"/>
      <c r="K79" s="233">
        <v>0.04317775575255256</v>
      </c>
      <c r="L79" s="233">
        <v>0.03965428906007529</v>
      </c>
      <c r="M79" s="233">
        <v>0.02957283087296214</v>
      </c>
      <c r="N79" s="233">
        <v>0.028341659346373005</v>
      </c>
      <c r="O79" s="233">
        <v>0.02887605245942315</v>
      </c>
      <c r="P79" s="94"/>
      <c r="Q79" s="210">
        <f>(O78/J78)^(1/(COUNT(J78:O78)))-1</f>
        <v>0.02817602231</v>
      </c>
      <c r="R79" s="211"/>
      <c r="S79" s="211"/>
      <c r="T79" s="211"/>
      <c r="U79" s="211"/>
      <c r="V79" s="211"/>
      <c r="W79" s="211"/>
      <c r="X79" s="211"/>
      <c r="Y79" s="211"/>
      <c r="Z79" s="211"/>
    </row>
    <row r="80" ht="15.75" customHeight="1">
      <c r="A80" s="234" t="s">
        <v>687</v>
      </c>
      <c r="B80" s="234">
        <v>1.15</v>
      </c>
      <c r="C80" s="234">
        <v>1.21</v>
      </c>
      <c r="D80" s="234">
        <v>1.27</v>
      </c>
      <c r="E80" s="234">
        <v>1.31</v>
      </c>
      <c r="F80" s="234">
        <v>1.35</v>
      </c>
      <c r="G80" s="234">
        <v>1.41</v>
      </c>
      <c r="H80" s="211"/>
      <c r="I80" s="107" t="s">
        <v>688</v>
      </c>
      <c r="J80" s="233">
        <v>0.06486310299869623</v>
      </c>
      <c r="K80" s="233">
        <v>0.0664262097986174</v>
      </c>
      <c r="L80" s="233">
        <v>0.06788584095317263</v>
      </c>
      <c r="M80" s="233">
        <v>0.068929774552993</v>
      </c>
      <c r="N80" s="233">
        <v>0.06997578692493947</v>
      </c>
      <c r="O80" s="233">
        <v>0.07124856815578465</v>
      </c>
      <c r="P80" s="94"/>
      <c r="Q80" s="94"/>
      <c r="R80" s="211"/>
      <c r="S80" s="211"/>
      <c r="T80" s="211"/>
      <c r="U80" s="211"/>
      <c r="V80" s="211"/>
      <c r="W80" s="211"/>
      <c r="X80" s="211"/>
      <c r="Y80" s="211"/>
      <c r="Z80" s="211"/>
    </row>
    <row r="81" ht="15.75" customHeight="1">
      <c r="A81" s="234" t="s">
        <v>689</v>
      </c>
      <c r="B81" s="234">
        <v>0.87</v>
      </c>
      <c r="C81" s="234">
        <v>0.92</v>
      </c>
      <c r="D81" s="234">
        <v>0.98</v>
      </c>
      <c r="E81" s="234">
        <v>1.04</v>
      </c>
      <c r="F81" s="234">
        <v>1.11</v>
      </c>
      <c r="G81" s="234">
        <v>1.17</v>
      </c>
      <c r="H81" s="211"/>
      <c r="I81" s="107" t="s">
        <v>652</v>
      </c>
      <c r="J81" s="233"/>
      <c r="K81" s="233">
        <v>0.024098551066121132</v>
      </c>
      <c r="L81" s="233">
        <v>0.02197372330862124</v>
      </c>
      <c r="M81" s="233">
        <v>0.015377781068374397</v>
      </c>
      <c r="N81" s="233">
        <v>0.015175044147900163</v>
      </c>
      <c r="O81" s="233">
        <v>0.018188880565365384</v>
      </c>
      <c r="P81" s="94"/>
      <c r="Q81" s="94"/>
      <c r="R81" s="211"/>
      <c r="S81" s="211"/>
      <c r="T81" s="211"/>
      <c r="U81" s="211"/>
      <c r="V81" s="211"/>
      <c r="W81" s="211"/>
      <c r="X81" s="211"/>
      <c r="Y81" s="211"/>
      <c r="Z81" s="211"/>
    </row>
    <row r="82" ht="15.75" customHeight="1">
      <c r="A82" s="234" t="s">
        <v>690</v>
      </c>
      <c r="B82" s="234">
        <v>3.11</v>
      </c>
      <c r="C82" s="234">
        <v>3.14</v>
      </c>
      <c r="D82" s="234">
        <v>3.28</v>
      </c>
      <c r="E82" s="234">
        <v>3.45</v>
      </c>
      <c r="F82" s="234">
        <v>3.61</v>
      </c>
      <c r="G82" s="234">
        <v>3.75</v>
      </c>
      <c r="H82" s="211"/>
      <c r="I82" s="94"/>
      <c r="J82" s="94"/>
      <c r="K82" s="94"/>
      <c r="L82" s="94"/>
      <c r="M82" s="94"/>
      <c r="N82" s="94"/>
      <c r="O82" s="94"/>
      <c r="P82" s="94"/>
      <c r="Q82" s="94"/>
      <c r="R82" s="211"/>
      <c r="S82" s="211"/>
      <c r="T82" s="211"/>
      <c r="U82" s="211"/>
      <c r="V82" s="211"/>
      <c r="W82" s="211"/>
      <c r="X82" s="211"/>
      <c r="Y82" s="211"/>
      <c r="Z82" s="211"/>
    </row>
    <row r="83" ht="15.75" customHeight="1">
      <c r="A83" s="234" t="s">
        <v>691</v>
      </c>
      <c r="B83" s="234">
        <v>0.13</v>
      </c>
      <c r="C83" s="234">
        <v>0.14</v>
      </c>
      <c r="D83" s="234">
        <v>0.16</v>
      </c>
      <c r="E83" s="234">
        <v>0.17</v>
      </c>
      <c r="F83" s="234">
        <v>0.18</v>
      </c>
      <c r="G83" s="234">
        <v>0.19</v>
      </c>
      <c r="H83" s="211"/>
      <c r="I83" s="94" t="s">
        <v>692</v>
      </c>
      <c r="J83" s="110"/>
      <c r="K83" s="110">
        <f t="shared" ref="K83:O83" si="23">C91/B91-1</f>
        <v>0</v>
      </c>
      <c r="L83" s="110">
        <f t="shared" si="23"/>
        <v>0</v>
      </c>
      <c r="M83" s="110">
        <f t="shared" si="23"/>
        <v>1</v>
      </c>
      <c r="N83" s="110">
        <f t="shared" si="23"/>
        <v>0</v>
      </c>
      <c r="O83" s="110">
        <f t="shared" si="23"/>
        <v>0</v>
      </c>
      <c r="P83" s="94"/>
      <c r="Q83" s="94"/>
      <c r="R83" s="211"/>
      <c r="S83" s="211"/>
      <c r="T83" s="211"/>
      <c r="U83" s="211"/>
      <c r="V83" s="211"/>
      <c r="W83" s="211"/>
      <c r="X83" s="211"/>
      <c r="Y83" s="211"/>
      <c r="Z83" s="211"/>
    </row>
    <row r="84" ht="15.75" customHeight="1">
      <c r="A84" s="234" t="s">
        <v>693</v>
      </c>
      <c r="B84" s="234">
        <v>35.9</v>
      </c>
      <c r="C84" s="234">
        <v>38.48</v>
      </c>
      <c r="D84" s="234">
        <v>41.16</v>
      </c>
      <c r="E84" s="234">
        <v>43.54</v>
      </c>
      <c r="F84" s="234">
        <v>46.08</v>
      </c>
      <c r="G84" s="234">
        <v>48.26</v>
      </c>
      <c r="H84" s="211"/>
      <c r="I84" s="94"/>
      <c r="J84" s="94"/>
      <c r="K84" s="169">
        <f t="shared" ref="K84:O84" si="24">K83+K79</f>
        <v>0.04317775575</v>
      </c>
      <c r="L84" s="169">
        <f t="shared" si="24"/>
        <v>0.03965428906</v>
      </c>
      <c r="M84" s="169">
        <f t="shared" si="24"/>
        <v>1.029572831</v>
      </c>
      <c r="N84" s="169">
        <f t="shared" si="24"/>
        <v>0.02834165935</v>
      </c>
      <c r="O84" s="169">
        <f t="shared" si="24"/>
        <v>0.02887605246</v>
      </c>
      <c r="P84" s="94"/>
      <c r="Q84" s="169">
        <v>0.239</v>
      </c>
      <c r="R84" s="211"/>
      <c r="S84" s="211"/>
      <c r="T84" s="211"/>
      <c r="U84" s="211"/>
      <c r="V84" s="211"/>
      <c r="W84" s="211"/>
      <c r="X84" s="211"/>
      <c r="Y84" s="211"/>
      <c r="Z84" s="211"/>
    </row>
    <row r="85" ht="15.75" customHeight="1">
      <c r="A85" s="234" t="s">
        <v>694</v>
      </c>
      <c r="B85" s="234">
        <v>8.06</v>
      </c>
      <c r="C85" s="234">
        <v>8.58</v>
      </c>
      <c r="D85" s="234">
        <v>9.1</v>
      </c>
      <c r="E85" s="234">
        <v>9.53</v>
      </c>
      <c r="F85" s="234">
        <v>9.95</v>
      </c>
      <c r="G85" s="234">
        <v>10.36</v>
      </c>
      <c r="H85" s="211"/>
      <c r="I85" s="94"/>
      <c r="J85" s="94"/>
      <c r="K85" s="169">
        <f t="shared" ref="K85:O85" si="25">AVERAGE(K84,$Q$7,$Q$8)</f>
        <v>0.04317775575</v>
      </c>
      <c r="L85" s="169">
        <f t="shared" si="25"/>
        <v>0.03965428906</v>
      </c>
      <c r="M85" s="169">
        <f t="shared" si="25"/>
        <v>1.029572831</v>
      </c>
      <c r="N85" s="169">
        <f t="shared" si="25"/>
        <v>0.02834165935</v>
      </c>
      <c r="O85" s="169">
        <f t="shared" si="25"/>
        <v>0.02887605246</v>
      </c>
      <c r="P85" s="94"/>
      <c r="Q85" s="110">
        <f>'Revenue assumption'!$P$10</f>
        <v>0.3091365066</v>
      </c>
      <c r="R85" s="211"/>
      <c r="S85" s="211"/>
      <c r="T85" s="211"/>
      <c r="U85" s="211"/>
      <c r="V85" s="211"/>
      <c r="W85" s="211"/>
      <c r="X85" s="211"/>
      <c r="Y85" s="211"/>
      <c r="Z85" s="211"/>
    </row>
    <row r="86" ht="15.75" customHeight="1">
      <c r="A86" s="234" t="s">
        <v>695</v>
      </c>
      <c r="B86" s="234">
        <v>0.36</v>
      </c>
      <c r="C86" s="234">
        <v>0.39</v>
      </c>
      <c r="D86" s="234">
        <v>0.41</v>
      </c>
      <c r="E86" s="234">
        <v>0.43</v>
      </c>
      <c r="F86" s="234">
        <v>0.46</v>
      </c>
      <c r="G86" s="234">
        <v>0.48</v>
      </c>
      <c r="H86" s="211"/>
      <c r="I86" s="94"/>
      <c r="J86" s="94"/>
      <c r="K86" s="94"/>
      <c r="L86" s="94"/>
      <c r="M86" s="94"/>
      <c r="N86" s="94"/>
      <c r="O86" s="94"/>
      <c r="P86" s="94"/>
      <c r="Q86" s="94"/>
      <c r="R86" s="211"/>
      <c r="S86" s="211"/>
      <c r="T86" s="211"/>
      <c r="U86" s="211"/>
      <c r="V86" s="211"/>
      <c r="W86" s="211"/>
      <c r="X86" s="211"/>
      <c r="Y86" s="211"/>
      <c r="Z86" s="211"/>
    </row>
    <row r="87" ht="15.75" customHeight="1">
      <c r="A87" s="234" t="s">
        <v>696</v>
      </c>
      <c r="B87" s="234">
        <v>0.15</v>
      </c>
      <c r="C87" s="234">
        <v>0.16</v>
      </c>
      <c r="D87" s="234">
        <v>0.17</v>
      </c>
      <c r="E87" s="234">
        <v>0.18</v>
      </c>
      <c r="F87" s="234">
        <v>0.19</v>
      </c>
      <c r="G87" s="234">
        <v>0.2</v>
      </c>
      <c r="H87" s="211"/>
      <c r="I87" s="94"/>
      <c r="J87" s="94"/>
      <c r="K87" s="94"/>
      <c r="L87" s="94"/>
      <c r="M87" s="94"/>
      <c r="N87" s="94"/>
      <c r="O87" s="94"/>
      <c r="P87" s="94"/>
      <c r="Q87" s="94"/>
      <c r="R87" s="211"/>
      <c r="S87" s="211"/>
      <c r="T87" s="211"/>
      <c r="U87" s="211"/>
      <c r="V87" s="211"/>
      <c r="W87" s="211"/>
      <c r="X87" s="211"/>
      <c r="Y87" s="211"/>
      <c r="Z87" s="211"/>
    </row>
    <row r="88" ht="15.75" customHeight="1">
      <c r="A88" s="234" t="s">
        <v>697</v>
      </c>
      <c r="B88" s="234">
        <v>1.85</v>
      </c>
      <c r="C88" s="234">
        <v>2.11</v>
      </c>
      <c r="D88" s="234">
        <v>2.42</v>
      </c>
      <c r="E88" s="234">
        <v>2.72</v>
      </c>
      <c r="F88" s="234">
        <v>3.05</v>
      </c>
      <c r="G88" s="234">
        <v>3.3</v>
      </c>
      <c r="H88" s="211"/>
      <c r="I88" s="94"/>
      <c r="J88" s="94"/>
      <c r="K88" s="94"/>
      <c r="L88" s="94"/>
      <c r="M88" s="94"/>
      <c r="N88" s="94"/>
      <c r="O88" s="94"/>
      <c r="P88" s="94"/>
      <c r="Q88" s="94"/>
      <c r="R88" s="211"/>
      <c r="S88" s="211"/>
      <c r="T88" s="211"/>
      <c r="U88" s="211"/>
      <c r="V88" s="211"/>
      <c r="W88" s="211"/>
      <c r="X88" s="211"/>
      <c r="Y88" s="211"/>
      <c r="Z88" s="211"/>
    </row>
    <row r="89" ht="15.75" customHeight="1">
      <c r="A89" s="234" t="s">
        <v>698</v>
      </c>
      <c r="B89" s="234">
        <v>0.57</v>
      </c>
      <c r="C89" s="234">
        <v>0.58</v>
      </c>
      <c r="D89" s="234">
        <v>0.61</v>
      </c>
      <c r="E89" s="234">
        <v>0.64</v>
      </c>
      <c r="F89" s="234">
        <v>0.67</v>
      </c>
      <c r="G89" s="234">
        <v>0.69</v>
      </c>
      <c r="H89" s="211"/>
      <c r="I89" s="94"/>
      <c r="J89" s="94"/>
      <c r="K89" s="94"/>
      <c r="L89" s="94"/>
      <c r="M89" s="94"/>
      <c r="N89" s="94"/>
      <c r="O89" s="94"/>
      <c r="P89" s="94"/>
      <c r="Q89" s="94"/>
      <c r="R89" s="211"/>
      <c r="S89" s="211"/>
      <c r="T89" s="211"/>
      <c r="U89" s="211"/>
      <c r="V89" s="211"/>
      <c r="W89" s="211"/>
      <c r="X89" s="211"/>
      <c r="Y89" s="211"/>
      <c r="Z89" s="211"/>
    </row>
    <row r="90" ht="15.75" customHeight="1">
      <c r="A90" s="234" t="s">
        <v>699</v>
      </c>
      <c r="B90" s="234">
        <v>9.66</v>
      </c>
      <c r="C90" s="234">
        <v>10.17</v>
      </c>
      <c r="D90" s="234">
        <v>10.7</v>
      </c>
      <c r="E90" s="234">
        <v>11.15</v>
      </c>
      <c r="F90" s="234">
        <v>11.65</v>
      </c>
      <c r="G90" s="234">
        <v>12.14</v>
      </c>
      <c r="H90" s="211"/>
      <c r="I90" s="94"/>
      <c r="J90" s="94"/>
      <c r="K90" s="94"/>
      <c r="L90" s="94"/>
      <c r="M90" s="94"/>
      <c r="N90" s="94"/>
      <c r="O90" s="94"/>
      <c r="P90" s="94"/>
      <c r="Q90" s="94"/>
      <c r="R90" s="211"/>
      <c r="S90" s="211"/>
      <c r="T90" s="211"/>
      <c r="U90" s="211"/>
      <c r="V90" s="211"/>
      <c r="W90" s="211"/>
      <c r="X90" s="211"/>
      <c r="Y90" s="211"/>
      <c r="Z90" s="211"/>
    </row>
    <row r="91" ht="15.75" customHeight="1">
      <c r="A91" s="234" t="s">
        <v>700</v>
      </c>
      <c r="B91" s="234">
        <v>0.01</v>
      </c>
      <c r="C91" s="234">
        <v>0.01</v>
      </c>
      <c r="D91" s="234">
        <v>0.01</v>
      </c>
      <c r="E91" s="234">
        <v>0.02</v>
      </c>
      <c r="F91" s="234">
        <v>0.02</v>
      </c>
      <c r="G91" s="234">
        <v>0.02</v>
      </c>
      <c r="H91" s="211"/>
      <c r="I91" s="94"/>
      <c r="J91" s="94"/>
      <c r="K91" s="94"/>
      <c r="L91" s="94"/>
      <c r="M91" s="94"/>
      <c r="N91" s="94"/>
      <c r="O91" s="94"/>
      <c r="P91" s="94"/>
      <c r="Q91" s="94"/>
      <c r="R91" s="211"/>
      <c r="S91" s="211"/>
      <c r="T91" s="211"/>
      <c r="U91" s="211"/>
      <c r="V91" s="211"/>
      <c r="W91" s="211"/>
      <c r="X91" s="211"/>
      <c r="Y91" s="211"/>
      <c r="Z91" s="211"/>
    </row>
    <row r="92" ht="15.75" customHeight="1">
      <c r="A92" s="234" t="s">
        <v>701</v>
      </c>
      <c r="B92" s="234">
        <v>0.14</v>
      </c>
      <c r="C92" s="234">
        <v>0.15</v>
      </c>
      <c r="D92" s="234">
        <v>0.17</v>
      </c>
      <c r="E92" s="234">
        <v>0.18</v>
      </c>
      <c r="F92" s="234">
        <v>0.19</v>
      </c>
      <c r="G92" s="234">
        <v>0.21</v>
      </c>
      <c r="H92" s="211"/>
      <c r="I92" s="94"/>
      <c r="J92" s="94"/>
      <c r="K92" s="94"/>
      <c r="L92" s="94"/>
      <c r="M92" s="94"/>
      <c r="N92" s="94"/>
      <c r="O92" s="94"/>
      <c r="P92" s="94"/>
      <c r="Q92" s="94"/>
      <c r="R92" s="211"/>
      <c r="S92" s="211"/>
      <c r="T92" s="211"/>
      <c r="U92" s="211"/>
      <c r="V92" s="211"/>
      <c r="W92" s="211"/>
      <c r="X92" s="211"/>
      <c r="Y92" s="211"/>
      <c r="Z92" s="211"/>
    </row>
    <row r="93" ht="15.75" customHeight="1">
      <c r="A93" s="234" t="s">
        <v>702</v>
      </c>
      <c r="B93" s="234">
        <v>0.02</v>
      </c>
      <c r="C93" s="234">
        <v>0.03</v>
      </c>
      <c r="D93" s="234">
        <v>0.03</v>
      </c>
      <c r="E93" s="234">
        <v>0.03</v>
      </c>
      <c r="F93" s="234">
        <v>0.03</v>
      </c>
      <c r="G93" s="234">
        <v>0.03</v>
      </c>
      <c r="H93" s="211"/>
      <c r="I93" s="94"/>
      <c r="J93" s="94"/>
      <c r="K93" s="94"/>
      <c r="L93" s="94"/>
      <c r="M93" s="94"/>
      <c r="N93" s="94"/>
      <c r="O93" s="94"/>
      <c r="P93" s="94"/>
      <c r="Q93" s="94"/>
      <c r="R93" s="211"/>
      <c r="S93" s="211"/>
      <c r="T93" s="211"/>
      <c r="U93" s="211"/>
      <c r="V93" s="211"/>
      <c r="W93" s="211"/>
      <c r="X93" s="211"/>
      <c r="Y93" s="211"/>
      <c r="Z93" s="211"/>
    </row>
    <row r="94" ht="15.75" customHeight="1">
      <c r="A94" s="234" t="s">
        <v>703</v>
      </c>
      <c r="B94" s="234">
        <v>0.33</v>
      </c>
      <c r="C94" s="234">
        <v>0.36</v>
      </c>
      <c r="D94" s="234">
        <v>0.39</v>
      </c>
      <c r="E94" s="234">
        <v>0.41</v>
      </c>
      <c r="F94" s="234">
        <v>0.44</v>
      </c>
      <c r="G94" s="234">
        <v>0.47</v>
      </c>
      <c r="H94" s="211"/>
      <c r="I94" s="94"/>
      <c r="J94" s="94"/>
      <c r="K94" s="94"/>
      <c r="L94" s="94"/>
      <c r="M94" s="94"/>
      <c r="N94" s="94"/>
      <c r="O94" s="94"/>
      <c r="P94" s="94"/>
      <c r="Q94" s="94"/>
      <c r="R94" s="211"/>
      <c r="S94" s="211"/>
      <c r="T94" s="211"/>
      <c r="U94" s="211"/>
      <c r="V94" s="211"/>
      <c r="W94" s="211"/>
      <c r="X94" s="211"/>
      <c r="Y94" s="211"/>
      <c r="Z94" s="211"/>
    </row>
    <row r="95" ht="15.75" customHeight="1">
      <c r="A95" s="234" t="s">
        <v>704</v>
      </c>
      <c r="B95" s="234">
        <v>0.16</v>
      </c>
      <c r="C95" s="234">
        <v>0.17</v>
      </c>
      <c r="D95" s="234">
        <v>0.18</v>
      </c>
      <c r="E95" s="234">
        <v>0.19</v>
      </c>
      <c r="F95" s="234">
        <v>0.2</v>
      </c>
      <c r="G95" s="234">
        <v>0.21</v>
      </c>
      <c r="H95" s="211"/>
      <c r="I95" s="94" t="s">
        <v>705</v>
      </c>
      <c r="J95" s="94"/>
      <c r="K95" s="110">
        <v>0.42</v>
      </c>
      <c r="L95" s="94"/>
      <c r="M95" s="94"/>
      <c r="N95" s="94"/>
      <c r="O95" s="94"/>
      <c r="P95" s="94"/>
      <c r="Q95" s="94"/>
      <c r="R95" s="211"/>
      <c r="S95" s="211"/>
      <c r="T95" s="211"/>
      <c r="U95" s="211"/>
      <c r="V95" s="211"/>
      <c r="W95" s="211"/>
      <c r="X95" s="211"/>
      <c r="Y95" s="211"/>
      <c r="Z95" s="211"/>
    </row>
    <row r="96" ht="15.75" customHeight="1">
      <c r="A96" s="234" t="s">
        <v>706</v>
      </c>
      <c r="B96" s="234">
        <v>0.15</v>
      </c>
      <c r="C96" s="234">
        <v>0.16</v>
      </c>
      <c r="D96" s="234">
        <v>0.18</v>
      </c>
      <c r="E96" s="234">
        <v>0.19</v>
      </c>
      <c r="F96" s="234">
        <v>0.2</v>
      </c>
      <c r="G96" s="234">
        <v>0.22</v>
      </c>
      <c r="H96" s="211"/>
      <c r="I96" s="94" t="s">
        <v>707</v>
      </c>
      <c r="J96" s="94"/>
      <c r="K96" s="169">
        <v>0.204</v>
      </c>
      <c r="L96" s="94"/>
      <c r="M96" s="94"/>
      <c r="N96" s="94"/>
      <c r="O96" s="94"/>
      <c r="P96" s="94"/>
      <c r="Q96" s="94"/>
      <c r="R96" s="211"/>
      <c r="S96" s="211"/>
      <c r="T96" s="211"/>
      <c r="U96" s="211"/>
      <c r="V96" s="211"/>
      <c r="W96" s="211"/>
      <c r="X96" s="211"/>
      <c r="Y96" s="211"/>
      <c r="Z96" s="211"/>
    </row>
    <row r="97" ht="15.75" customHeight="1">
      <c r="A97" s="234" t="s">
        <v>708</v>
      </c>
      <c r="B97" s="234">
        <v>22.41</v>
      </c>
      <c r="C97" s="234">
        <v>23.67</v>
      </c>
      <c r="D97" s="234">
        <v>25.22</v>
      </c>
      <c r="E97" s="234">
        <v>26.94</v>
      </c>
      <c r="F97" s="234">
        <v>28.6</v>
      </c>
      <c r="G97" s="234">
        <v>29.84</v>
      </c>
      <c r="H97" s="211"/>
      <c r="I97" s="94"/>
      <c r="J97" s="94"/>
      <c r="K97" s="94"/>
      <c r="L97" s="94"/>
      <c r="M97" s="94"/>
      <c r="N97" s="94"/>
      <c r="O97" s="94"/>
      <c r="P97" s="94"/>
      <c r="Q97" s="94"/>
      <c r="R97" s="211"/>
      <c r="S97" s="211"/>
      <c r="T97" s="211"/>
      <c r="U97" s="211"/>
      <c r="V97" s="211"/>
      <c r="W97" s="211"/>
      <c r="X97" s="211"/>
      <c r="Y97" s="211"/>
      <c r="Z97" s="211"/>
    </row>
    <row r="98" ht="15.75" customHeight="1">
      <c r="A98" s="234" t="s">
        <v>709</v>
      </c>
      <c r="B98" s="234">
        <v>0.07</v>
      </c>
      <c r="C98" s="234">
        <v>0.08</v>
      </c>
      <c r="D98" s="234">
        <v>0.08</v>
      </c>
      <c r="E98" s="234">
        <v>0.09</v>
      </c>
      <c r="F98" s="234">
        <v>0.09</v>
      </c>
      <c r="G98" s="234">
        <v>0.1</v>
      </c>
      <c r="H98" s="211"/>
      <c r="I98" s="94" t="s">
        <v>224</v>
      </c>
      <c r="J98" s="94"/>
      <c r="K98" s="123">
        <f>'Revenue breakdown'!$F$12</f>
        <v>6725006</v>
      </c>
      <c r="L98" s="94"/>
      <c r="M98" s="94"/>
      <c r="N98" s="94"/>
      <c r="O98" s="94"/>
      <c r="P98" s="94"/>
      <c r="Q98" s="94"/>
      <c r="R98" s="211"/>
      <c r="S98" s="211"/>
      <c r="T98" s="211"/>
      <c r="U98" s="211"/>
      <c r="V98" s="211"/>
      <c r="W98" s="211"/>
      <c r="X98" s="211"/>
      <c r="Y98" s="211"/>
      <c r="Z98" s="211"/>
    </row>
    <row r="99" ht="15.75" customHeight="1">
      <c r="A99" s="234" t="s">
        <v>710</v>
      </c>
      <c r="B99" s="234">
        <v>0.43</v>
      </c>
      <c r="C99" s="234">
        <v>0.46</v>
      </c>
      <c r="D99" s="234">
        <v>0.5</v>
      </c>
      <c r="E99" s="234">
        <v>0.53</v>
      </c>
      <c r="F99" s="234">
        <v>0.56</v>
      </c>
      <c r="G99" s="234">
        <v>0.59</v>
      </c>
      <c r="H99" s="211"/>
      <c r="I99" s="94" t="s">
        <v>711</v>
      </c>
      <c r="J99" s="94"/>
      <c r="K99" s="123">
        <f>421*10^3</f>
        <v>421000</v>
      </c>
      <c r="L99" s="94"/>
      <c r="M99" s="94"/>
      <c r="N99" s="94"/>
      <c r="O99" s="94"/>
      <c r="P99" s="94"/>
      <c r="Q99" s="94"/>
      <c r="R99" s="211"/>
      <c r="S99" s="211"/>
      <c r="T99" s="211"/>
      <c r="U99" s="211"/>
      <c r="V99" s="211"/>
      <c r="W99" s="211"/>
      <c r="X99" s="211"/>
      <c r="Y99" s="211"/>
      <c r="Z99" s="211"/>
    </row>
    <row r="100" ht="15.75" customHeight="1">
      <c r="A100" s="234" t="s">
        <v>712</v>
      </c>
      <c r="B100" s="234">
        <v>0.13</v>
      </c>
      <c r="C100" s="234">
        <v>0.14</v>
      </c>
      <c r="D100" s="234">
        <v>0.16</v>
      </c>
      <c r="E100" s="234">
        <v>0.17</v>
      </c>
      <c r="F100" s="234">
        <v>0.18</v>
      </c>
      <c r="G100" s="234">
        <v>0.19</v>
      </c>
      <c r="H100" s="211"/>
      <c r="I100" s="94" t="s">
        <v>678</v>
      </c>
      <c r="J100" s="94"/>
      <c r="K100" s="110">
        <f>K99/K98</f>
        <v>0.06260217463</v>
      </c>
      <c r="L100" s="94"/>
      <c r="M100" s="94"/>
      <c r="N100" s="94"/>
      <c r="O100" s="94"/>
      <c r="P100" s="94"/>
      <c r="Q100" s="94"/>
      <c r="R100" s="211"/>
      <c r="S100" s="211"/>
      <c r="T100" s="211"/>
      <c r="U100" s="211"/>
      <c r="V100" s="211"/>
      <c r="W100" s="211"/>
      <c r="X100" s="211"/>
      <c r="Y100" s="211"/>
      <c r="Z100" s="211"/>
    </row>
    <row r="101" ht="15.75" customHeight="1">
      <c r="A101" s="234" t="s">
        <v>713</v>
      </c>
      <c r="B101" s="234">
        <v>0.02</v>
      </c>
      <c r="C101" s="234">
        <v>0.03</v>
      </c>
      <c r="D101" s="234">
        <v>0.03</v>
      </c>
      <c r="E101" s="234">
        <v>0.03</v>
      </c>
      <c r="F101" s="234">
        <v>0.04</v>
      </c>
      <c r="G101" s="234">
        <v>0.04</v>
      </c>
      <c r="H101" s="211"/>
      <c r="I101" s="94"/>
      <c r="J101" s="94"/>
      <c r="K101" s="94"/>
      <c r="L101" s="94"/>
      <c r="M101" s="94"/>
      <c r="N101" s="94"/>
      <c r="O101" s="94"/>
      <c r="P101" s="94"/>
      <c r="Q101" s="94"/>
      <c r="R101" s="211"/>
      <c r="S101" s="211"/>
      <c r="T101" s="211"/>
      <c r="U101" s="211"/>
      <c r="V101" s="211"/>
      <c r="W101" s="211"/>
      <c r="X101" s="211"/>
      <c r="Y101" s="211"/>
      <c r="Z101" s="211"/>
    </row>
    <row r="102" ht="15.75" customHeight="1">
      <c r="A102" s="234" t="s">
        <v>714</v>
      </c>
      <c r="B102" s="234">
        <v>0.23</v>
      </c>
      <c r="C102" s="234">
        <v>0.25</v>
      </c>
      <c r="D102" s="234">
        <v>0.28</v>
      </c>
      <c r="E102" s="234">
        <v>0.3</v>
      </c>
      <c r="F102" s="234">
        <v>0.33</v>
      </c>
      <c r="G102" s="234">
        <v>0.35</v>
      </c>
      <c r="H102" s="211"/>
      <c r="I102" s="94"/>
      <c r="J102" s="94"/>
      <c r="K102" s="110">
        <f>K100*(SUM(K95:K96))</f>
        <v>0.03906375697</v>
      </c>
      <c r="L102" s="94"/>
      <c r="M102" s="94"/>
      <c r="N102" s="94"/>
      <c r="O102" s="94"/>
      <c r="P102" s="94"/>
      <c r="Q102" s="94"/>
      <c r="R102" s="211"/>
      <c r="S102" s="211"/>
      <c r="T102" s="211"/>
      <c r="U102" s="211"/>
      <c r="V102" s="211"/>
      <c r="W102" s="211"/>
      <c r="X102" s="211"/>
      <c r="Y102" s="211"/>
      <c r="Z102" s="211"/>
    </row>
    <row r="103" ht="15.75" customHeight="1">
      <c r="A103" s="234" t="s">
        <v>715</v>
      </c>
      <c r="B103" s="234">
        <v>0.33</v>
      </c>
      <c r="C103" s="234">
        <v>0.35</v>
      </c>
      <c r="D103" s="234">
        <v>0.38</v>
      </c>
      <c r="E103" s="234">
        <v>0.41</v>
      </c>
      <c r="F103" s="234">
        <v>0.43</v>
      </c>
      <c r="G103" s="234">
        <v>0.46</v>
      </c>
      <c r="H103" s="211"/>
      <c r="I103" s="94"/>
      <c r="J103" s="94"/>
      <c r="K103" s="94"/>
      <c r="L103" s="94"/>
      <c r="M103" s="94"/>
      <c r="N103" s="94"/>
      <c r="O103" s="94"/>
      <c r="P103" s="94"/>
      <c r="Q103" s="94"/>
      <c r="R103" s="211"/>
      <c r="S103" s="211"/>
      <c r="T103" s="211"/>
      <c r="U103" s="211"/>
      <c r="V103" s="211"/>
      <c r="W103" s="211"/>
      <c r="X103" s="211"/>
      <c r="Y103" s="211"/>
      <c r="Z103" s="211"/>
    </row>
    <row r="104" ht="15.75" customHeight="1">
      <c r="A104" s="234" t="s">
        <v>716</v>
      </c>
      <c r="B104" s="234">
        <v>30.23</v>
      </c>
      <c r="C104" s="234">
        <v>32.41</v>
      </c>
      <c r="D104" s="234">
        <v>34.55</v>
      </c>
      <c r="E104" s="234">
        <v>36.45</v>
      </c>
      <c r="F104" s="234">
        <v>38.52</v>
      </c>
      <c r="G104" s="234">
        <v>40.19</v>
      </c>
      <c r="H104" s="211"/>
      <c r="I104" s="94"/>
      <c r="J104" s="94"/>
      <c r="K104" s="169">
        <f t="shared" ref="K104:O104" si="26">K85+$K$25</f>
        <v>0.04317775575</v>
      </c>
      <c r="L104" s="169">
        <f t="shared" si="26"/>
        <v>0.03965428906</v>
      </c>
      <c r="M104" s="169">
        <f t="shared" si="26"/>
        <v>1.029572831</v>
      </c>
      <c r="N104" s="169">
        <f t="shared" si="26"/>
        <v>0.02834165935</v>
      </c>
      <c r="O104" s="169">
        <f t="shared" si="26"/>
        <v>0.02887605246</v>
      </c>
      <c r="P104" s="94"/>
      <c r="Q104" s="94"/>
      <c r="R104" s="211"/>
      <c r="S104" s="211"/>
      <c r="T104" s="211"/>
      <c r="U104" s="211"/>
      <c r="V104" s="211"/>
      <c r="W104" s="211"/>
      <c r="X104" s="211"/>
      <c r="Y104" s="211"/>
      <c r="Z104" s="211"/>
    </row>
    <row r="105" ht="15.75" customHeight="1">
      <c r="A105" s="234" t="s">
        <v>717</v>
      </c>
      <c r="B105" s="234">
        <v>0.09</v>
      </c>
      <c r="C105" s="234">
        <v>0.09</v>
      </c>
      <c r="D105" s="234">
        <v>0.1</v>
      </c>
      <c r="E105" s="234">
        <v>0.11</v>
      </c>
      <c r="F105" s="234">
        <v>0.11</v>
      </c>
      <c r="G105" s="234">
        <v>0.12</v>
      </c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</row>
    <row r="106" ht="15.75" customHeight="1">
      <c r="A106" s="234" t="s">
        <v>718</v>
      </c>
      <c r="B106" s="234">
        <v>2.07</v>
      </c>
      <c r="C106" s="234">
        <v>2.2</v>
      </c>
      <c r="D106" s="234">
        <v>2.35</v>
      </c>
      <c r="E106" s="234">
        <v>2.47</v>
      </c>
      <c r="F106" s="234">
        <v>2.61</v>
      </c>
      <c r="G106" s="234">
        <v>2.74</v>
      </c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</row>
    <row r="107" ht="15.75" customHeight="1">
      <c r="A107" s="234" t="s">
        <v>719</v>
      </c>
      <c r="B107" s="234">
        <v>78.03</v>
      </c>
      <c r="C107" s="234">
        <v>84.15</v>
      </c>
      <c r="D107" s="234">
        <v>90.93</v>
      </c>
      <c r="E107" s="234">
        <v>96.75</v>
      </c>
      <c r="F107" s="234">
        <v>103.1</v>
      </c>
      <c r="G107" s="234">
        <v>108.4</v>
      </c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</row>
    <row r="108" ht="15.75" customHeight="1">
      <c r="A108" s="234" t="s">
        <v>720</v>
      </c>
      <c r="B108" s="234">
        <v>2.05</v>
      </c>
      <c r="C108" s="234">
        <v>2.17</v>
      </c>
      <c r="D108" s="234">
        <v>2.33</v>
      </c>
      <c r="E108" s="234">
        <v>2.47</v>
      </c>
      <c r="F108" s="234">
        <v>2.63</v>
      </c>
      <c r="G108" s="234">
        <v>2.77</v>
      </c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</row>
    <row r="109" ht="15.75" customHeight="1">
      <c r="A109" s="234" t="s">
        <v>721</v>
      </c>
      <c r="B109" s="234">
        <v>0.45</v>
      </c>
      <c r="C109" s="234">
        <v>0.48</v>
      </c>
      <c r="D109" s="234">
        <v>0.52</v>
      </c>
      <c r="E109" s="234">
        <v>0.55</v>
      </c>
      <c r="F109" s="234">
        <v>0.59</v>
      </c>
      <c r="G109" s="234">
        <v>0.63</v>
      </c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</row>
    <row r="110" ht="15.75" customHeight="1">
      <c r="A110" s="234" t="s">
        <v>722</v>
      </c>
      <c r="B110" s="234">
        <v>0.79</v>
      </c>
      <c r="C110" s="234">
        <v>0.85</v>
      </c>
      <c r="D110" s="234">
        <v>0.91</v>
      </c>
      <c r="E110" s="234">
        <v>0.96</v>
      </c>
      <c r="F110" s="234">
        <v>1.02</v>
      </c>
      <c r="G110" s="234">
        <v>1.08</v>
      </c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</row>
    <row r="111" ht="15.75" customHeight="1">
      <c r="A111" s="234" t="s">
        <v>723</v>
      </c>
      <c r="B111" s="234">
        <v>1.41</v>
      </c>
      <c r="C111" s="234">
        <v>1.44</v>
      </c>
      <c r="D111" s="234">
        <v>1.48</v>
      </c>
      <c r="E111" s="234">
        <v>1.52</v>
      </c>
      <c r="F111" s="234">
        <v>1.56</v>
      </c>
      <c r="G111" s="234">
        <v>1.6</v>
      </c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</row>
    <row r="112" ht="15.75" customHeight="1">
      <c r="A112" s="234" t="s">
        <v>724</v>
      </c>
      <c r="B112" s="234">
        <v>0.2</v>
      </c>
      <c r="C112" s="234">
        <v>0.21</v>
      </c>
      <c r="D112" s="234">
        <v>0.23</v>
      </c>
      <c r="E112" s="234">
        <v>0.24</v>
      </c>
      <c r="F112" s="234">
        <v>0.26</v>
      </c>
      <c r="G112" s="234">
        <v>0.27</v>
      </c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</row>
    <row r="113" ht="15.75" customHeight="1">
      <c r="A113" s="234" t="s">
        <v>725</v>
      </c>
      <c r="B113" s="234">
        <v>6.01</v>
      </c>
      <c r="C113" s="234">
        <v>6.47</v>
      </c>
      <c r="D113" s="234">
        <v>6.96</v>
      </c>
      <c r="E113" s="234">
        <v>7.35</v>
      </c>
      <c r="F113" s="234">
        <v>7.75</v>
      </c>
      <c r="G113" s="234">
        <v>8.13</v>
      </c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</row>
    <row r="114" ht="15.75" customHeight="1">
      <c r="A114" s="234" t="s">
        <v>726</v>
      </c>
      <c r="B114" s="234">
        <v>12.16</v>
      </c>
      <c r="C114" s="234">
        <v>12.84</v>
      </c>
      <c r="D114" s="234">
        <v>13.61</v>
      </c>
      <c r="E114" s="234">
        <v>14.31</v>
      </c>
      <c r="F114" s="234">
        <v>15.07</v>
      </c>
      <c r="G114" s="234">
        <v>15.71</v>
      </c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</row>
    <row r="115" ht="15.75" customHeight="1">
      <c r="A115" s="234" t="s">
        <v>727</v>
      </c>
      <c r="B115" s="234">
        <v>0.71</v>
      </c>
      <c r="C115" s="234">
        <v>0.78</v>
      </c>
      <c r="D115" s="234">
        <v>0.85</v>
      </c>
      <c r="E115" s="234">
        <v>0.91</v>
      </c>
      <c r="F115" s="234">
        <v>0.98</v>
      </c>
      <c r="G115" s="234">
        <v>1.05</v>
      </c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</row>
    <row r="116" ht="15.75" customHeight="1">
      <c r="A116" s="234" t="s">
        <v>728</v>
      </c>
      <c r="B116" s="234">
        <v>0.78</v>
      </c>
      <c r="C116" s="234">
        <v>0.82</v>
      </c>
      <c r="D116" s="234">
        <v>0.87</v>
      </c>
      <c r="E116" s="234">
        <v>0.91</v>
      </c>
      <c r="F116" s="234">
        <v>0.96</v>
      </c>
      <c r="G116" s="234">
        <v>1.01</v>
      </c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</row>
    <row r="117" ht="15.75" customHeight="1">
      <c r="A117" s="234" t="s">
        <v>729</v>
      </c>
      <c r="B117" s="234">
        <v>1.57</v>
      </c>
      <c r="C117" s="234">
        <v>1.82</v>
      </c>
      <c r="D117" s="234">
        <v>2.09</v>
      </c>
      <c r="E117" s="234">
        <v>2.35</v>
      </c>
      <c r="F117" s="234">
        <v>2.64</v>
      </c>
      <c r="G117" s="234">
        <v>2.83</v>
      </c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</row>
    <row r="118" ht="15.75" customHeight="1">
      <c r="A118" s="234" t="s">
        <v>730</v>
      </c>
      <c r="B118" s="234">
        <v>0.2</v>
      </c>
      <c r="C118" s="234">
        <v>0.21</v>
      </c>
      <c r="D118" s="234">
        <v>0.23</v>
      </c>
      <c r="E118" s="234">
        <v>0.24</v>
      </c>
      <c r="F118" s="234">
        <v>0.25</v>
      </c>
      <c r="G118" s="234">
        <v>0.27</v>
      </c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</row>
    <row r="119" ht="15.75" customHeight="1">
      <c r="A119" s="234" t="s">
        <v>731</v>
      </c>
      <c r="B119" s="234">
        <v>0.07</v>
      </c>
      <c r="C119" s="234">
        <v>0.07</v>
      </c>
      <c r="D119" s="234">
        <v>0.07</v>
      </c>
      <c r="E119" s="234">
        <v>0.08</v>
      </c>
      <c r="F119" s="234">
        <v>0.08</v>
      </c>
      <c r="G119" s="234">
        <v>0.08</v>
      </c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</row>
    <row r="120" ht="15.75" customHeight="1">
      <c r="A120" s="234" t="s">
        <v>732</v>
      </c>
      <c r="B120" s="234">
        <v>0.26</v>
      </c>
      <c r="C120" s="234">
        <v>0.28</v>
      </c>
      <c r="D120" s="234">
        <v>0.31</v>
      </c>
      <c r="E120" s="234">
        <v>0.32</v>
      </c>
      <c r="F120" s="234">
        <v>0.34</v>
      </c>
      <c r="G120" s="234">
        <v>0.36</v>
      </c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</row>
    <row r="121" ht="15.75" customHeight="1">
      <c r="A121" s="234" t="s">
        <v>733</v>
      </c>
      <c r="B121" s="234">
        <v>2.07</v>
      </c>
      <c r="C121" s="234">
        <v>2.44</v>
      </c>
      <c r="D121" s="234">
        <v>2.75</v>
      </c>
      <c r="E121" s="234">
        <v>3.01</v>
      </c>
      <c r="F121" s="234">
        <v>3.29</v>
      </c>
      <c r="G121" s="234">
        <v>3.53</v>
      </c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</row>
    <row r="122" ht="15.75" customHeight="1">
      <c r="A122" s="234" t="s">
        <v>734</v>
      </c>
      <c r="B122" s="234">
        <v>0.04</v>
      </c>
      <c r="C122" s="234">
        <v>0.04</v>
      </c>
      <c r="D122" s="234">
        <v>0.05</v>
      </c>
      <c r="E122" s="234">
        <v>0.05</v>
      </c>
      <c r="F122" s="234">
        <v>0.05</v>
      </c>
      <c r="G122" s="234">
        <v>0.06</v>
      </c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</row>
    <row r="123" ht="15.75" customHeight="1">
      <c r="A123" s="234" t="s">
        <v>735</v>
      </c>
      <c r="B123" s="234">
        <v>10.05</v>
      </c>
      <c r="C123" s="234">
        <v>10.56</v>
      </c>
      <c r="D123" s="234">
        <v>11.16</v>
      </c>
      <c r="E123" s="234">
        <v>11.67</v>
      </c>
      <c r="F123" s="234">
        <v>12.23</v>
      </c>
      <c r="G123" s="234">
        <v>12.76</v>
      </c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</row>
    <row r="124" ht="15.75" customHeight="1">
      <c r="A124" s="234" t="s">
        <v>736</v>
      </c>
      <c r="B124" s="234">
        <v>61.9</v>
      </c>
      <c r="C124" s="234">
        <v>65.55</v>
      </c>
      <c r="D124" s="234">
        <v>69.34</v>
      </c>
      <c r="E124" s="234">
        <v>72.39</v>
      </c>
      <c r="F124" s="234">
        <v>75.6</v>
      </c>
      <c r="G124" s="234">
        <v>78.77</v>
      </c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</row>
    <row r="125" ht="15.75" customHeight="1">
      <c r="A125" s="234" t="s">
        <v>737</v>
      </c>
      <c r="B125" s="234">
        <v>0.1</v>
      </c>
      <c r="C125" s="234">
        <v>0.11</v>
      </c>
      <c r="D125" s="234">
        <v>0.11</v>
      </c>
      <c r="E125" s="234">
        <v>0.12</v>
      </c>
      <c r="F125" s="234">
        <v>0.13</v>
      </c>
      <c r="G125" s="234">
        <v>0.13</v>
      </c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</row>
    <row r="126" ht="15.75" customHeight="1">
      <c r="A126" s="234" t="s">
        <v>738</v>
      </c>
      <c r="B126" s="234">
        <v>0.02</v>
      </c>
      <c r="C126" s="234">
        <v>0.02</v>
      </c>
      <c r="D126" s="234">
        <v>0.02</v>
      </c>
      <c r="E126" s="234">
        <v>0.02</v>
      </c>
      <c r="F126" s="234">
        <v>0.02</v>
      </c>
      <c r="G126" s="234">
        <v>0.02</v>
      </c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</row>
    <row r="127" ht="15.75" customHeight="1">
      <c r="A127" s="234" t="s">
        <v>739</v>
      </c>
      <c r="B127" s="234">
        <v>0.17</v>
      </c>
      <c r="C127" s="234">
        <v>0.19</v>
      </c>
      <c r="D127" s="234">
        <v>0.21</v>
      </c>
      <c r="E127" s="234">
        <v>0.22</v>
      </c>
      <c r="F127" s="234">
        <v>0.24</v>
      </c>
      <c r="G127" s="234">
        <v>0.26</v>
      </c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</row>
    <row r="128" ht="15.75" customHeight="1">
      <c r="A128" s="234" t="s">
        <v>740</v>
      </c>
      <c r="B128" s="234">
        <v>73.62</v>
      </c>
      <c r="C128" s="234">
        <v>78.92</v>
      </c>
      <c r="D128" s="234">
        <v>84.06</v>
      </c>
      <c r="E128" s="234">
        <v>87.7</v>
      </c>
      <c r="F128" s="234">
        <v>91.36</v>
      </c>
      <c r="G128" s="234">
        <v>94.96</v>
      </c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</row>
    <row r="129" ht="15.75" customHeight="1">
      <c r="A129" s="234" t="s">
        <v>741</v>
      </c>
      <c r="B129" s="234">
        <v>0.66</v>
      </c>
      <c r="C129" s="234">
        <v>0.68</v>
      </c>
      <c r="D129" s="234">
        <v>0.73</v>
      </c>
      <c r="E129" s="234">
        <v>0.78</v>
      </c>
      <c r="F129" s="234">
        <v>0.84</v>
      </c>
      <c r="G129" s="234">
        <v>0.89</v>
      </c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</row>
    <row r="130" ht="15.75" customHeight="1">
      <c r="A130" s="234" t="s">
        <v>742</v>
      </c>
      <c r="B130" s="234">
        <v>1.77</v>
      </c>
      <c r="C130" s="234">
        <v>1.85</v>
      </c>
      <c r="D130" s="234">
        <v>1.93</v>
      </c>
      <c r="E130" s="234">
        <v>1.98</v>
      </c>
      <c r="F130" s="234">
        <v>2.04</v>
      </c>
      <c r="G130" s="234">
        <v>2.1</v>
      </c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</row>
    <row r="131" ht="15.75" customHeight="1">
      <c r="A131" s="234" t="s">
        <v>743</v>
      </c>
      <c r="B131" s="234">
        <v>0.72</v>
      </c>
      <c r="C131" s="234">
        <v>0.78</v>
      </c>
      <c r="D131" s="234">
        <v>0.85</v>
      </c>
      <c r="E131" s="234">
        <v>0.92</v>
      </c>
      <c r="F131" s="234">
        <v>0.99</v>
      </c>
      <c r="G131" s="234">
        <v>1.05</v>
      </c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</row>
    <row r="132" ht="15.75" customHeight="1">
      <c r="A132" s="234" t="s">
        <v>744</v>
      </c>
      <c r="B132" s="234">
        <v>0.15</v>
      </c>
      <c r="C132" s="234">
        <v>0.16</v>
      </c>
      <c r="D132" s="234">
        <v>0.17</v>
      </c>
      <c r="E132" s="234">
        <v>0.19</v>
      </c>
      <c r="F132" s="234">
        <v>0.2</v>
      </c>
      <c r="G132" s="234">
        <v>0.22</v>
      </c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</row>
    <row r="133" ht="15.75" customHeight="1">
      <c r="A133" s="234" t="s">
        <v>745</v>
      </c>
      <c r="B133" s="234">
        <v>0.06</v>
      </c>
      <c r="C133" s="234">
        <v>0.07</v>
      </c>
      <c r="D133" s="234">
        <v>0.08</v>
      </c>
      <c r="E133" s="234">
        <v>0.09</v>
      </c>
      <c r="F133" s="234">
        <v>0.09</v>
      </c>
      <c r="G133" s="234">
        <v>0.1</v>
      </c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</row>
    <row r="134" ht="15.75" customHeight="1">
      <c r="A134" s="234" t="s">
        <v>746</v>
      </c>
      <c r="B134" s="234">
        <v>0.07</v>
      </c>
      <c r="C134" s="234">
        <v>0.07</v>
      </c>
      <c r="D134" s="234">
        <v>0.08</v>
      </c>
      <c r="E134" s="234">
        <v>0.09</v>
      </c>
      <c r="F134" s="234">
        <v>0.09</v>
      </c>
      <c r="G134" s="234">
        <v>0.09</v>
      </c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</row>
    <row r="135" ht="15.75" customHeight="1">
      <c r="A135" s="234" t="s">
        <v>747</v>
      </c>
      <c r="B135" s="234">
        <v>0.21</v>
      </c>
      <c r="C135" s="234">
        <v>0.22</v>
      </c>
      <c r="D135" s="234">
        <v>0.24</v>
      </c>
      <c r="E135" s="234">
        <v>0.25</v>
      </c>
      <c r="F135" s="234">
        <v>0.27</v>
      </c>
      <c r="G135" s="234">
        <v>0.29</v>
      </c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</row>
    <row r="136" ht="15.75" customHeight="1">
      <c r="A136" s="234" t="s">
        <v>748</v>
      </c>
      <c r="B136" s="234">
        <v>1.97</v>
      </c>
      <c r="C136" s="234">
        <v>2.14</v>
      </c>
      <c r="D136" s="234">
        <v>2.33</v>
      </c>
      <c r="E136" s="234">
        <v>2.49</v>
      </c>
      <c r="F136" s="234">
        <v>2.66</v>
      </c>
      <c r="G136" s="234">
        <v>2.81</v>
      </c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</row>
    <row r="137" ht="15.75" customHeight="1">
      <c r="A137" s="234" t="s">
        <v>749</v>
      </c>
      <c r="B137" s="234">
        <v>0.27</v>
      </c>
      <c r="C137" s="234">
        <v>0.3</v>
      </c>
      <c r="D137" s="234">
        <v>0.33</v>
      </c>
      <c r="E137" s="234">
        <v>0.36</v>
      </c>
      <c r="F137" s="234">
        <v>0.39</v>
      </c>
      <c r="G137" s="234">
        <v>0.4</v>
      </c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</row>
    <row r="138" ht="15.75" customHeight="1">
      <c r="A138" s="234" t="s">
        <v>750</v>
      </c>
      <c r="B138" s="234">
        <v>26.73</v>
      </c>
      <c r="C138" s="234">
        <v>29.94</v>
      </c>
      <c r="D138" s="234">
        <v>33.61</v>
      </c>
      <c r="E138" s="234">
        <v>37.02</v>
      </c>
      <c r="F138" s="234">
        <v>40.8</v>
      </c>
      <c r="G138" s="234">
        <v>44.02</v>
      </c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</row>
    <row r="139" ht="15.75" customHeight="1">
      <c r="A139" s="234" t="s">
        <v>751</v>
      </c>
      <c r="B139" s="234">
        <v>5.59</v>
      </c>
      <c r="C139" s="234">
        <v>6.14</v>
      </c>
      <c r="D139" s="234">
        <v>6.76</v>
      </c>
      <c r="E139" s="234">
        <v>7.33</v>
      </c>
      <c r="F139" s="234">
        <v>7.92</v>
      </c>
      <c r="G139" s="234">
        <v>8.44</v>
      </c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</row>
    <row r="140" ht="15.75" customHeight="1">
      <c r="A140" s="234" t="s">
        <v>752</v>
      </c>
      <c r="B140" s="234">
        <v>5.76</v>
      </c>
      <c r="C140" s="234">
        <v>6.06</v>
      </c>
      <c r="D140" s="234">
        <v>6.39</v>
      </c>
      <c r="E140" s="234">
        <v>6.71</v>
      </c>
      <c r="F140" s="234">
        <v>7.09</v>
      </c>
      <c r="G140" s="234">
        <v>7.38</v>
      </c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</row>
    <row r="141" ht="15.75" customHeight="1">
      <c r="A141" s="234" t="s">
        <v>753</v>
      </c>
      <c r="B141" s="234">
        <v>1.03</v>
      </c>
      <c r="C141" s="234">
        <v>1.09</v>
      </c>
      <c r="D141" s="234">
        <v>1.15</v>
      </c>
      <c r="E141" s="234">
        <v>1.21</v>
      </c>
      <c r="F141" s="234">
        <v>1.26</v>
      </c>
      <c r="G141" s="234">
        <v>1.32</v>
      </c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</row>
    <row r="142" ht="15.75" customHeight="1">
      <c r="A142" s="234" t="s">
        <v>754</v>
      </c>
      <c r="B142" s="234">
        <v>4.24</v>
      </c>
      <c r="C142" s="234">
        <v>4.55</v>
      </c>
      <c r="D142" s="234">
        <v>4.86</v>
      </c>
      <c r="E142" s="234">
        <v>5.12</v>
      </c>
      <c r="F142" s="234">
        <v>5.4</v>
      </c>
      <c r="G142" s="234">
        <v>5.66</v>
      </c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</row>
    <row r="143" ht="15.75" customHeight="1">
      <c r="A143" s="234" t="s">
        <v>755</v>
      </c>
      <c r="B143" s="234">
        <v>7.1</v>
      </c>
      <c r="C143" s="234">
        <v>7.6</v>
      </c>
      <c r="D143" s="234">
        <v>8.15</v>
      </c>
      <c r="E143" s="234">
        <v>8.64</v>
      </c>
      <c r="F143" s="234">
        <v>9.18</v>
      </c>
      <c r="G143" s="234">
        <v>9.71</v>
      </c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</row>
    <row r="144" ht="15.75" customHeight="1">
      <c r="A144" s="234" t="s">
        <v>756</v>
      </c>
      <c r="B144" s="234">
        <v>25.31</v>
      </c>
      <c r="C144" s="234">
        <v>26.6</v>
      </c>
      <c r="D144" s="234">
        <v>27.98</v>
      </c>
      <c r="E144" s="234">
        <v>29.12</v>
      </c>
      <c r="F144" s="234">
        <v>30.3</v>
      </c>
      <c r="G144" s="234">
        <v>31.45</v>
      </c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</row>
    <row r="145" ht="15.75" customHeight="1">
      <c r="A145" s="234" t="s">
        <v>757</v>
      </c>
      <c r="B145" s="234">
        <v>0.41</v>
      </c>
      <c r="C145" s="234">
        <v>0.45</v>
      </c>
      <c r="D145" s="234">
        <v>0.5</v>
      </c>
      <c r="E145" s="234">
        <v>0.54</v>
      </c>
      <c r="F145" s="234">
        <v>0.58</v>
      </c>
      <c r="G145" s="234">
        <v>0.62</v>
      </c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</row>
    <row r="146" ht="15.75" customHeight="1">
      <c r="A146" s="234" t="s">
        <v>758</v>
      </c>
      <c r="B146" s="234">
        <v>0.14</v>
      </c>
      <c r="C146" s="234">
        <v>0.15</v>
      </c>
      <c r="D146" s="234">
        <v>0.15</v>
      </c>
      <c r="E146" s="234">
        <v>0.16</v>
      </c>
      <c r="F146" s="234">
        <v>0.17</v>
      </c>
      <c r="G146" s="234">
        <v>0.18</v>
      </c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</row>
    <row r="147" ht="15.75" customHeight="1">
      <c r="A147" s="234" t="s">
        <v>671</v>
      </c>
      <c r="B147" s="234">
        <v>89.45</v>
      </c>
      <c r="C147" s="234">
        <v>95.82</v>
      </c>
      <c r="D147" s="234">
        <v>101.6</v>
      </c>
      <c r="E147" s="234">
        <v>106.4</v>
      </c>
      <c r="F147" s="234">
        <v>113.6</v>
      </c>
      <c r="G147" s="234">
        <v>117.5</v>
      </c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</row>
    <row r="148" ht="15.75" customHeight="1">
      <c r="A148" s="234" t="s">
        <v>759</v>
      </c>
      <c r="B148" s="234">
        <v>0.39</v>
      </c>
      <c r="C148" s="234">
        <v>0.41</v>
      </c>
      <c r="D148" s="234">
        <v>0.44</v>
      </c>
      <c r="E148" s="234">
        <v>0.47</v>
      </c>
      <c r="F148" s="234">
        <v>0.5</v>
      </c>
      <c r="G148" s="234">
        <v>0.53</v>
      </c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</row>
    <row r="149" ht="15.75" customHeight="1">
      <c r="A149" s="234" t="s">
        <v>760</v>
      </c>
      <c r="B149" s="234">
        <v>1.33</v>
      </c>
      <c r="C149" s="234">
        <v>1.44</v>
      </c>
      <c r="D149" s="234">
        <v>1.53</v>
      </c>
      <c r="E149" s="234">
        <v>1.61</v>
      </c>
      <c r="F149" s="234">
        <v>1.71</v>
      </c>
      <c r="G149" s="234">
        <v>1.8</v>
      </c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</row>
    <row r="150" ht="15.75" customHeight="1">
      <c r="A150" s="234" t="s">
        <v>761</v>
      </c>
      <c r="B150" s="234">
        <v>0.79</v>
      </c>
      <c r="C150" s="234">
        <v>0.86</v>
      </c>
      <c r="D150" s="234">
        <v>0.93</v>
      </c>
      <c r="E150" s="234">
        <v>0.99</v>
      </c>
      <c r="F150" s="234">
        <v>1.06</v>
      </c>
      <c r="G150" s="234">
        <v>1.13</v>
      </c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</row>
    <row r="151" ht="15.75" customHeight="1">
      <c r="A151" s="234" t="s">
        <v>762</v>
      </c>
      <c r="B151" s="234">
        <v>0.59</v>
      </c>
      <c r="C151" s="234">
        <v>0.62</v>
      </c>
      <c r="D151" s="234">
        <v>0.65</v>
      </c>
      <c r="E151" s="234">
        <v>0.67</v>
      </c>
      <c r="F151" s="234">
        <v>0.7</v>
      </c>
      <c r="G151" s="234">
        <v>0.74</v>
      </c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</row>
    <row r="152" ht="15.75" customHeight="1">
      <c r="A152" s="234" t="s">
        <v>763</v>
      </c>
      <c r="B152" s="234">
        <v>0.08</v>
      </c>
      <c r="C152" s="234">
        <v>0.08</v>
      </c>
      <c r="D152" s="234">
        <v>0.09</v>
      </c>
      <c r="E152" s="234">
        <v>0.1</v>
      </c>
      <c r="F152" s="234">
        <v>0.1</v>
      </c>
      <c r="G152" s="234">
        <v>0.11</v>
      </c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</row>
    <row r="153" ht="15.75" customHeight="1">
      <c r="A153" s="234" t="s">
        <v>764</v>
      </c>
      <c r="B153" s="234">
        <v>0.14</v>
      </c>
      <c r="C153" s="234">
        <v>0.15</v>
      </c>
      <c r="D153" s="234">
        <v>0.16</v>
      </c>
      <c r="E153" s="234">
        <v>0.18</v>
      </c>
      <c r="F153" s="234">
        <v>0.19</v>
      </c>
      <c r="G153" s="234">
        <v>0.2</v>
      </c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</row>
    <row r="154" ht="15.75" customHeight="1">
      <c r="A154" s="234" t="s">
        <v>765</v>
      </c>
      <c r="B154" s="234">
        <v>0.28</v>
      </c>
      <c r="C154" s="234">
        <v>0.31</v>
      </c>
      <c r="D154" s="234">
        <v>0.33</v>
      </c>
      <c r="E154" s="234">
        <v>0.36</v>
      </c>
      <c r="F154" s="234">
        <v>0.38</v>
      </c>
      <c r="G154" s="234">
        <v>0.4</v>
      </c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</row>
    <row r="155" ht="15.75" customHeight="1">
      <c r="A155" s="234" t="s">
        <v>766</v>
      </c>
      <c r="B155" s="234">
        <v>0.35</v>
      </c>
      <c r="C155" s="234">
        <v>0.35</v>
      </c>
      <c r="D155" s="234">
        <v>0.36</v>
      </c>
      <c r="E155" s="234">
        <v>0.37</v>
      </c>
      <c r="F155" s="234">
        <v>0.37</v>
      </c>
      <c r="G155" s="234">
        <v>0.38</v>
      </c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</row>
    <row r="156" ht="15.75" customHeight="1">
      <c r="A156" s="234" t="s">
        <v>767</v>
      </c>
      <c r="B156" s="234">
        <v>0.02</v>
      </c>
      <c r="C156" s="234">
        <v>0.02</v>
      </c>
      <c r="D156" s="234">
        <v>0.02</v>
      </c>
      <c r="E156" s="234">
        <v>0.02</v>
      </c>
      <c r="F156" s="234">
        <v>0.03</v>
      </c>
      <c r="G156" s="234">
        <v>0.03</v>
      </c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</row>
    <row r="157" ht="15.75" customHeight="1">
      <c r="A157" s="234" t="s">
        <v>768</v>
      </c>
      <c r="B157" s="234">
        <v>0.47</v>
      </c>
      <c r="C157" s="234">
        <v>0.51</v>
      </c>
      <c r="D157" s="234">
        <v>0.55</v>
      </c>
      <c r="E157" s="234">
        <v>0.58</v>
      </c>
      <c r="F157" s="234">
        <v>0.61</v>
      </c>
      <c r="G157" s="234">
        <v>0.64</v>
      </c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</row>
    <row r="158" ht="15.75" customHeight="1">
      <c r="A158" s="234" t="s">
        <v>769</v>
      </c>
      <c r="B158" s="234">
        <v>1.24</v>
      </c>
      <c r="C158" s="234">
        <v>1.32</v>
      </c>
      <c r="D158" s="234">
        <v>1.41</v>
      </c>
      <c r="E158" s="234">
        <v>1.48</v>
      </c>
      <c r="F158" s="234">
        <v>1.56</v>
      </c>
      <c r="G158" s="234">
        <v>1.63</v>
      </c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</row>
    <row r="159" ht="15.75" customHeight="1">
      <c r="A159" s="234" t="s">
        <v>770</v>
      </c>
      <c r="B159" s="234">
        <v>0.12</v>
      </c>
      <c r="C159" s="234">
        <v>0.13</v>
      </c>
      <c r="D159" s="234">
        <v>0.14</v>
      </c>
      <c r="E159" s="234">
        <v>0.16</v>
      </c>
      <c r="F159" s="234">
        <v>0.17</v>
      </c>
      <c r="G159" s="234">
        <v>0.18</v>
      </c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</row>
    <row r="160" ht="15.75" customHeight="1">
      <c r="A160" s="234" t="s">
        <v>771</v>
      </c>
      <c r="B160" s="234">
        <v>0.05</v>
      </c>
      <c r="C160" s="234">
        <v>0.06</v>
      </c>
      <c r="D160" s="234">
        <v>0.06</v>
      </c>
      <c r="E160" s="234">
        <v>0.06</v>
      </c>
      <c r="F160" s="234">
        <v>0.07</v>
      </c>
      <c r="G160" s="234">
        <v>0.07</v>
      </c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</row>
    <row r="161" ht="15.75" customHeight="1">
      <c r="A161" s="234" t="s">
        <v>772</v>
      </c>
      <c r="B161" s="234">
        <v>5.12</v>
      </c>
      <c r="C161" s="234">
        <v>5.6</v>
      </c>
      <c r="D161" s="234">
        <v>6.1</v>
      </c>
      <c r="E161" s="234">
        <v>6.51</v>
      </c>
      <c r="F161" s="234">
        <v>6.97</v>
      </c>
      <c r="G161" s="234">
        <v>7.38</v>
      </c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</row>
    <row r="162" ht="15.75" customHeight="1">
      <c r="A162" s="234" t="s">
        <v>773</v>
      </c>
      <c r="B162" s="234">
        <v>0.15</v>
      </c>
      <c r="C162" s="234">
        <v>0.16</v>
      </c>
      <c r="D162" s="234">
        <v>0.17</v>
      </c>
      <c r="E162" s="234">
        <v>0.18</v>
      </c>
      <c r="F162" s="234">
        <v>0.19</v>
      </c>
      <c r="G162" s="234">
        <v>0.2</v>
      </c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</row>
    <row r="163" ht="15.75" customHeight="1">
      <c r="A163" s="234" t="s">
        <v>774</v>
      </c>
      <c r="B163" s="234">
        <v>0.15</v>
      </c>
      <c r="C163" s="234">
        <v>0.16</v>
      </c>
      <c r="D163" s="234">
        <v>0.17</v>
      </c>
      <c r="E163" s="234">
        <v>0.18</v>
      </c>
      <c r="F163" s="234">
        <v>0.19</v>
      </c>
      <c r="G163" s="234">
        <v>0.2</v>
      </c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</row>
    <row r="164" ht="15.75" customHeight="1">
      <c r="A164" s="234" t="s">
        <v>775</v>
      </c>
      <c r="B164" s="234">
        <v>17.8</v>
      </c>
      <c r="C164" s="234">
        <v>18.86</v>
      </c>
      <c r="D164" s="234">
        <v>20.04</v>
      </c>
      <c r="E164" s="234">
        <v>21.09</v>
      </c>
      <c r="F164" s="234">
        <v>22.25</v>
      </c>
      <c r="G164" s="234">
        <v>23.27</v>
      </c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</row>
    <row r="165" ht="15.75" customHeight="1">
      <c r="A165" s="234" t="s">
        <v>776</v>
      </c>
      <c r="B165" s="234">
        <v>0.09</v>
      </c>
      <c r="C165" s="234">
        <v>0.1</v>
      </c>
      <c r="D165" s="234">
        <v>0.11</v>
      </c>
      <c r="E165" s="234">
        <v>0.11</v>
      </c>
      <c r="F165" s="234">
        <v>0.12</v>
      </c>
      <c r="G165" s="234">
        <v>0.13</v>
      </c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</row>
    <row r="166" ht="15.75" customHeight="1">
      <c r="A166" s="234" t="s">
        <v>777</v>
      </c>
      <c r="B166" s="234">
        <v>0.12</v>
      </c>
      <c r="C166" s="234">
        <v>0.13</v>
      </c>
      <c r="D166" s="234">
        <v>0.13</v>
      </c>
      <c r="E166" s="234">
        <v>0.14</v>
      </c>
      <c r="F166" s="234">
        <v>0.15</v>
      </c>
      <c r="G166" s="234">
        <v>0.16</v>
      </c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</row>
    <row r="167" ht="15.75" customHeight="1">
      <c r="A167" s="234" t="s">
        <v>778</v>
      </c>
      <c r="B167" s="234">
        <v>0.04</v>
      </c>
      <c r="C167" s="234">
        <v>0.05</v>
      </c>
      <c r="D167" s="234">
        <v>0.05</v>
      </c>
      <c r="E167" s="234">
        <v>0.06</v>
      </c>
      <c r="F167" s="234">
        <v>0.06</v>
      </c>
      <c r="G167" s="234">
        <v>0.06</v>
      </c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</row>
    <row r="168" ht="15.75" customHeight="1">
      <c r="A168" s="234" t="s">
        <v>779</v>
      </c>
      <c r="B168" s="234">
        <v>0.91</v>
      </c>
      <c r="C168" s="234">
        <v>0.98</v>
      </c>
      <c r="D168" s="234">
        <v>1.05</v>
      </c>
      <c r="E168" s="234">
        <v>1.12</v>
      </c>
      <c r="F168" s="234">
        <v>1.19</v>
      </c>
      <c r="G168" s="234">
        <v>1.26</v>
      </c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</row>
    <row r="169" ht="15.75" customHeight="1">
      <c r="A169" s="234" t="s">
        <v>780</v>
      </c>
      <c r="B169" s="234">
        <v>0.14</v>
      </c>
      <c r="C169" s="234">
        <v>0.15</v>
      </c>
      <c r="D169" s="234">
        <v>0.17</v>
      </c>
      <c r="E169" s="234">
        <v>0.19</v>
      </c>
      <c r="F169" s="234">
        <v>0.21</v>
      </c>
      <c r="G169" s="234">
        <v>0.24</v>
      </c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</row>
    <row r="170" ht="15.75" customHeight="1">
      <c r="A170" s="234" t="s">
        <v>781</v>
      </c>
      <c r="B170" s="234">
        <v>0.65</v>
      </c>
      <c r="C170" s="234">
        <v>0.7</v>
      </c>
      <c r="D170" s="234">
        <v>0.75</v>
      </c>
      <c r="E170" s="234">
        <v>0.79</v>
      </c>
      <c r="F170" s="234">
        <v>0.84</v>
      </c>
      <c r="G170" s="234">
        <v>0.89</v>
      </c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</row>
    <row r="171" ht="15.75" customHeight="1">
      <c r="A171" s="234" t="s">
        <v>782</v>
      </c>
      <c r="B171" s="234">
        <v>0.11</v>
      </c>
      <c r="C171" s="234">
        <v>0.12</v>
      </c>
      <c r="D171" s="234">
        <v>0.12</v>
      </c>
      <c r="E171" s="234">
        <v>0.13</v>
      </c>
      <c r="F171" s="234">
        <v>0.14</v>
      </c>
      <c r="G171" s="234">
        <v>0.14</v>
      </c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</row>
    <row r="172" ht="15.75" customHeight="1">
      <c r="A172" s="234" t="s">
        <v>783</v>
      </c>
      <c r="B172" s="234">
        <v>0.26</v>
      </c>
      <c r="C172" s="234">
        <v>0.29</v>
      </c>
      <c r="D172" s="234">
        <v>0.32</v>
      </c>
      <c r="E172" s="234">
        <v>0.35</v>
      </c>
      <c r="F172" s="234">
        <v>0.38</v>
      </c>
      <c r="G172" s="234">
        <v>0.4</v>
      </c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</row>
    <row r="173" ht="15.75" customHeight="1">
      <c r="A173" s="234" t="s">
        <v>784</v>
      </c>
      <c r="B173" s="234">
        <v>27.05</v>
      </c>
      <c r="C173" s="234">
        <v>28.63</v>
      </c>
      <c r="D173" s="234">
        <v>30.29</v>
      </c>
      <c r="E173" s="234">
        <v>31.67</v>
      </c>
      <c r="F173" s="234">
        <v>33.16</v>
      </c>
      <c r="G173" s="234">
        <v>34.61</v>
      </c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</row>
    <row r="174" ht="15.75" customHeight="1">
      <c r="A174" s="234" t="s">
        <v>785</v>
      </c>
      <c r="B174" s="234">
        <v>4.07</v>
      </c>
      <c r="C174" s="234">
        <v>4.23</v>
      </c>
      <c r="D174" s="234">
        <v>4.46</v>
      </c>
      <c r="E174" s="234">
        <v>4.67</v>
      </c>
      <c r="F174" s="234">
        <v>4.89</v>
      </c>
      <c r="G174" s="234">
        <v>5.06</v>
      </c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</row>
    <row r="175" ht="15.75" customHeight="1">
      <c r="A175" s="234" t="s">
        <v>786</v>
      </c>
      <c r="B175" s="234">
        <v>0.11</v>
      </c>
      <c r="C175" s="234">
        <v>0.12</v>
      </c>
      <c r="D175" s="234">
        <v>0.13</v>
      </c>
      <c r="E175" s="234">
        <v>0.14</v>
      </c>
      <c r="F175" s="234">
        <v>0.15</v>
      </c>
      <c r="G175" s="234">
        <v>0.16</v>
      </c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</row>
    <row r="176" ht="15.75" customHeight="1">
      <c r="A176" s="234" t="s">
        <v>787</v>
      </c>
      <c r="B176" s="234">
        <v>0.09</v>
      </c>
      <c r="C176" s="234">
        <v>0.1</v>
      </c>
      <c r="D176" s="234">
        <v>0.11</v>
      </c>
      <c r="E176" s="234">
        <v>0.12</v>
      </c>
      <c r="F176" s="234">
        <v>0.13</v>
      </c>
      <c r="G176" s="234">
        <v>0.14</v>
      </c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</row>
    <row r="177" ht="15.75" customHeight="1">
      <c r="A177" s="234" t="s">
        <v>788</v>
      </c>
      <c r="B177" s="234">
        <v>2.17</v>
      </c>
      <c r="C177" s="234">
        <v>2.56</v>
      </c>
      <c r="D177" s="234">
        <v>2.98</v>
      </c>
      <c r="E177" s="234">
        <v>3.38</v>
      </c>
      <c r="F177" s="234">
        <v>3.82</v>
      </c>
      <c r="G177" s="234">
        <v>4.03</v>
      </c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</row>
    <row r="178" ht="15.75" customHeight="1">
      <c r="A178" s="234" t="s">
        <v>789</v>
      </c>
      <c r="B178" s="234">
        <v>0.12</v>
      </c>
      <c r="C178" s="234">
        <v>0.13</v>
      </c>
      <c r="D178" s="234">
        <v>0.14</v>
      </c>
      <c r="E178" s="234">
        <v>0.15</v>
      </c>
      <c r="F178" s="234">
        <v>0.16</v>
      </c>
      <c r="G178" s="234">
        <v>0.16</v>
      </c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</row>
    <row r="179" ht="15.75" customHeight="1">
      <c r="A179" s="234" t="s">
        <v>790</v>
      </c>
      <c r="B179" s="234">
        <v>7.66</v>
      </c>
      <c r="C179" s="234">
        <v>7.83</v>
      </c>
      <c r="D179" s="234">
        <v>8.05</v>
      </c>
      <c r="E179" s="234">
        <v>8.37</v>
      </c>
      <c r="F179" s="234">
        <v>8.72</v>
      </c>
      <c r="G179" s="234">
        <v>9.09</v>
      </c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</row>
    <row r="180" ht="15.75" customHeight="1">
      <c r="A180" s="234" t="s">
        <v>791</v>
      </c>
      <c r="B180" s="234">
        <v>0.46</v>
      </c>
      <c r="C180" s="234">
        <v>0.48</v>
      </c>
      <c r="D180" s="234">
        <v>0.5</v>
      </c>
      <c r="E180" s="234">
        <v>0.53</v>
      </c>
      <c r="F180" s="234">
        <v>0.55</v>
      </c>
      <c r="G180" s="234">
        <v>0.58</v>
      </c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</row>
    <row r="181" ht="15.75" customHeight="1">
      <c r="A181" s="234" t="s">
        <v>792</v>
      </c>
      <c r="B181" s="234">
        <v>2.46</v>
      </c>
      <c r="C181" s="234">
        <v>2.63</v>
      </c>
      <c r="D181" s="234">
        <v>2.85</v>
      </c>
      <c r="E181" s="234">
        <v>3.06</v>
      </c>
      <c r="F181" s="234">
        <v>3.29</v>
      </c>
      <c r="G181" s="234">
        <v>3.5</v>
      </c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</row>
    <row r="182" ht="15.75" customHeight="1">
      <c r="A182" s="234" t="s">
        <v>793</v>
      </c>
      <c r="B182" s="234">
        <v>0.49</v>
      </c>
      <c r="C182" s="234">
        <v>0.53</v>
      </c>
      <c r="D182" s="234">
        <v>0.57</v>
      </c>
      <c r="E182" s="234">
        <v>0.61</v>
      </c>
      <c r="F182" s="234">
        <v>0.65</v>
      </c>
      <c r="G182" s="234">
        <v>0.69</v>
      </c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</row>
    <row r="183" ht="15.75" customHeight="1">
      <c r="A183" s="234" t="s">
        <v>794</v>
      </c>
      <c r="B183" s="234">
        <v>0.19</v>
      </c>
      <c r="C183" s="234">
        <v>0.19</v>
      </c>
      <c r="D183" s="234">
        <v>0.19</v>
      </c>
      <c r="E183" s="234">
        <v>0.2</v>
      </c>
      <c r="F183" s="234">
        <v>0.21</v>
      </c>
      <c r="G183" s="234">
        <v>0.22</v>
      </c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</row>
    <row r="184" ht="15.75" customHeight="1">
      <c r="A184" s="234" t="s">
        <v>795</v>
      </c>
      <c r="B184" s="234">
        <v>0.36</v>
      </c>
      <c r="C184" s="234">
        <v>0.38</v>
      </c>
      <c r="D184" s="234">
        <v>0.42</v>
      </c>
      <c r="E184" s="234">
        <v>0.44</v>
      </c>
      <c r="F184" s="234">
        <v>0.47</v>
      </c>
      <c r="G184" s="234">
        <v>0.5</v>
      </c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</row>
    <row r="185" ht="15.75" customHeight="1">
      <c r="A185" s="234" t="s">
        <v>796</v>
      </c>
      <c r="B185" s="234">
        <v>1.51</v>
      </c>
      <c r="C185" s="234">
        <v>1.61</v>
      </c>
      <c r="D185" s="234">
        <v>1.72</v>
      </c>
      <c r="E185" s="234">
        <v>1.83</v>
      </c>
      <c r="F185" s="234">
        <v>1.94</v>
      </c>
      <c r="G185" s="234">
        <v>2.04</v>
      </c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</row>
    <row r="186" ht="15.75" customHeight="1">
      <c r="A186" s="234" t="s">
        <v>797</v>
      </c>
      <c r="B186" s="234">
        <v>2.26</v>
      </c>
      <c r="C186" s="234">
        <v>2.5</v>
      </c>
      <c r="D186" s="234">
        <v>2.79</v>
      </c>
      <c r="E186" s="234">
        <v>3.06</v>
      </c>
      <c r="F186" s="234">
        <v>3.36</v>
      </c>
      <c r="G186" s="234">
        <v>3.6</v>
      </c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</row>
    <row r="187" ht="15.75" customHeight="1">
      <c r="A187" s="234" t="s">
        <v>798</v>
      </c>
      <c r="B187" s="234">
        <v>9.75</v>
      </c>
      <c r="C187" s="234">
        <v>10.44</v>
      </c>
      <c r="D187" s="234">
        <v>11.28</v>
      </c>
      <c r="E187" s="234">
        <v>11.95</v>
      </c>
      <c r="F187" s="234">
        <v>12.48</v>
      </c>
      <c r="G187" s="234">
        <v>13.14</v>
      </c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</row>
    <row r="188" ht="15.75" customHeight="1">
      <c r="A188" s="234" t="s">
        <v>799</v>
      </c>
      <c r="B188" s="234">
        <v>2.79</v>
      </c>
      <c r="C188" s="234">
        <v>2.97</v>
      </c>
      <c r="D188" s="234">
        <v>3.15</v>
      </c>
      <c r="E188" s="234">
        <v>3.3</v>
      </c>
      <c r="F188" s="234">
        <v>3.46</v>
      </c>
      <c r="G188" s="234">
        <v>3.62</v>
      </c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</row>
    <row r="189" ht="15.75" customHeight="1">
      <c r="A189" s="234" t="s">
        <v>800</v>
      </c>
      <c r="B189" s="234">
        <v>0.93</v>
      </c>
      <c r="C189" s="234">
        <v>0.99</v>
      </c>
      <c r="D189" s="234">
        <v>1.06</v>
      </c>
      <c r="E189" s="234">
        <v>1.13</v>
      </c>
      <c r="F189" s="234">
        <v>1.18</v>
      </c>
      <c r="G189" s="234">
        <v>1.23</v>
      </c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</row>
    <row r="190" ht="15.75" customHeight="1">
      <c r="A190" s="234" t="s">
        <v>801</v>
      </c>
      <c r="B190" s="234">
        <v>0.08</v>
      </c>
      <c r="C190" s="234">
        <v>0.08</v>
      </c>
      <c r="D190" s="234">
        <v>0.09</v>
      </c>
      <c r="E190" s="234">
        <v>0.09</v>
      </c>
      <c r="F190" s="234">
        <v>0.1</v>
      </c>
      <c r="G190" s="234">
        <v>0.11</v>
      </c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</row>
    <row r="191" ht="15.75" customHeight="1">
      <c r="A191" s="234" t="s">
        <v>802</v>
      </c>
      <c r="B191" s="234">
        <v>1.27</v>
      </c>
      <c r="C191" s="234">
        <v>1.38</v>
      </c>
      <c r="D191" s="234">
        <v>1.5</v>
      </c>
      <c r="E191" s="234">
        <v>1.6</v>
      </c>
      <c r="F191" s="234">
        <v>1.69</v>
      </c>
      <c r="G191" s="234">
        <v>1.79</v>
      </c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</row>
    <row r="192" ht="15.75" customHeight="1">
      <c r="A192" s="234" t="s">
        <v>803</v>
      </c>
      <c r="B192" s="234">
        <v>7.94</v>
      </c>
      <c r="C192" s="234">
        <v>8.16</v>
      </c>
      <c r="D192" s="234">
        <v>8.45</v>
      </c>
      <c r="E192" s="234">
        <v>8.66</v>
      </c>
      <c r="F192" s="234">
        <v>8.91</v>
      </c>
      <c r="G192" s="234">
        <v>9.26</v>
      </c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</row>
    <row r="193" ht="15.75" customHeight="1">
      <c r="A193" s="234" t="s">
        <v>804</v>
      </c>
      <c r="B193" s="234">
        <v>0.09</v>
      </c>
      <c r="C193" s="234">
        <v>0.1</v>
      </c>
      <c r="D193" s="234">
        <v>0.11</v>
      </c>
      <c r="E193" s="234">
        <v>0.11</v>
      </c>
      <c r="F193" s="234">
        <v>0.13</v>
      </c>
      <c r="G193" s="234">
        <v>0.14</v>
      </c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</row>
    <row r="194" ht="15.75" customHeight="1">
      <c r="A194" s="234" t="s">
        <v>805</v>
      </c>
      <c r="B194" s="234">
        <v>2.49</v>
      </c>
      <c r="C194" s="234">
        <v>2.62</v>
      </c>
      <c r="D194" s="234">
        <v>2.75</v>
      </c>
      <c r="E194" s="234">
        <v>2.88</v>
      </c>
      <c r="F194" s="234">
        <v>3.02</v>
      </c>
      <c r="G194" s="234">
        <v>3.15</v>
      </c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</row>
    <row r="195" ht="15.75" customHeight="1">
      <c r="A195" s="234" t="s">
        <v>806</v>
      </c>
      <c r="B195" s="234">
        <v>0.17</v>
      </c>
      <c r="C195" s="234">
        <v>0.2</v>
      </c>
      <c r="D195" s="234">
        <v>0.22</v>
      </c>
      <c r="E195" s="234">
        <v>0.23</v>
      </c>
      <c r="F195" s="234">
        <v>0.26</v>
      </c>
      <c r="G195" s="234">
        <v>0.28</v>
      </c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</row>
    <row r="196" ht="15.75" customHeight="1">
      <c r="A196" s="234" t="s">
        <v>807</v>
      </c>
      <c r="B196" s="234">
        <v>0.45</v>
      </c>
      <c r="C196" s="234">
        <v>0.5</v>
      </c>
      <c r="D196" s="234">
        <v>0.54</v>
      </c>
      <c r="E196" s="234">
        <v>0.57</v>
      </c>
      <c r="F196" s="234">
        <v>0.61</v>
      </c>
      <c r="G196" s="234">
        <v>0.64</v>
      </c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</row>
    <row r="197" ht="15.75" customHeight="1">
      <c r="A197" s="234" t="s">
        <v>808</v>
      </c>
      <c r="B197" s="234">
        <v>0.01</v>
      </c>
      <c r="C197" s="234">
        <v>0.01</v>
      </c>
      <c r="D197" s="234">
        <v>0.01</v>
      </c>
      <c r="E197" s="234">
        <v>0.02</v>
      </c>
      <c r="F197" s="234">
        <v>0.02</v>
      </c>
      <c r="G197" s="234">
        <v>0.02</v>
      </c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</row>
    <row r="198" ht="15.75" customHeight="1">
      <c r="A198" s="234" t="s">
        <v>809</v>
      </c>
      <c r="B198" s="234">
        <v>0.03</v>
      </c>
      <c r="C198" s="234">
        <v>0.04</v>
      </c>
      <c r="D198" s="234">
        <v>0.04</v>
      </c>
      <c r="E198" s="234">
        <v>0.04</v>
      </c>
      <c r="F198" s="234">
        <v>0.05</v>
      </c>
      <c r="G198" s="234">
        <v>0.05</v>
      </c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</row>
    <row r="199" ht="15.75" customHeight="1">
      <c r="A199" s="234" t="s">
        <v>810</v>
      </c>
      <c r="B199" s="234">
        <v>12.2</v>
      </c>
      <c r="C199" s="234">
        <v>13.01</v>
      </c>
      <c r="D199" s="234">
        <v>13.88</v>
      </c>
      <c r="E199" s="234">
        <v>14.65</v>
      </c>
      <c r="F199" s="234">
        <v>15.49</v>
      </c>
      <c r="G199" s="234">
        <v>16.2</v>
      </c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</row>
    <row r="200" ht="15.75" customHeight="1">
      <c r="A200" s="234" t="s">
        <v>811</v>
      </c>
      <c r="B200" s="234">
        <v>1.08</v>
      </c>
      <c r="C200" s="234">
        <v>1.17</v>
      </c>
      <c r="D200" s="234">
        <v>1.25</v>
      </c>
      <c r="E200" s="234">
        <v>1.32</v>
      </c>
      <c r="F200" s="234">
        <v>1.4</v>
      </c>
      <c r="G200" s="234">
        <v>1.47</v>
      </c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</row>
    <row r="201" ht="15.75" customHeight="1">
      <c r="A201" s="234" t="s">
        <v>812</v>
      </c>
      <c r="B201" s="234">
        <v>0.51</v>
      </c>
      <c r="C201" s="234">
        <v>0.55</v>
      </c>
      <c r="D201" s="234">
        <v>0.59</v>
      </c>
      <c r="E201" s="234">
        <v>0.62</v>
      </c>
      <c r="F201" s="234">
        <v>0.66</v>
      </c>
      <c r="G201" s="234">
        <v>0.69</v>
      </c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</row>
    <row r="202" ht="15.75" customHeight="1">
      <c r="A202" s="234" t="s">
        <v>813</v>
      </c>
      <c r="B202" s="234">
        <v>6.16</v>
      </c>
      <c r="C202" s="234">
        <v>6.51</v>
      </c>
      <c r="D202" s="234">
        <v>6.87</v>
      </c>
      <c r="E202" s="234">
        <v>7.18</v>
      </c>
      <c r="F202" s="234">
        <v>7.52</v>
      </c>
      <c r="G202" s="234">
        <v>7.84</v>
      </c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</row>
    <row r="203" ht="15.75" customHeight="1">
      <c r="A203" s="234" t="s">
        <v>814</v>
      </c>
      <c r="B203" s="234">
        <v>33.67</v>
      </c>
      <c r="C203" s="234">
        <v>35.85</v>
      </c>
      <c r="D203" s="234">
        <v>38.12</v>
      </c>
      <c r="E203" s="234">
        <v>40.17</v>
      </c>
      <c r="F203" s="234">
        <v>42.34</v>
      </c>
      <c r="G203" s="234">
        <v>44.26</v>
      </c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</row>
    <row r="204" ht="15.75" customHeight="1">
      <c r="A204" s="234" t="s">
        <v>815</v>
      </c>
      <c r="B204" s="234">
        <v>27.26</v>
      </c>
      <c r="C204" s="234">
        <v>28.94</v>
      </c>
      <c r="D204" s="234">
        <v>30.58</v>
      </c>
      <c r="E204" s="234">
        <v>31.93</v>
      </c>
      <c r="F204" s="234">
        <v>33.38</v>
      </c>
      <c r="G204" s="234">
        <v>34.79</v>
      </c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</row>
    <row r="205" ht="15.75" customHeight="1">
      <c r="A205" s="234" t="s">
        <v>816</v>
      </c>
      <c r="B205" s="234">
        <v>0.88</v>
      </c>
      <c r="C205" s="234">
        <v>0.85</v>
      </c>
      <c r="D205" s="234">
        <v>0.83</v>
      </c>
      <c r="E205" s="234">
        <v>0.82</v>
      </c>
      <c r="F205" s="234">
        <v>0.81</v>
      </c>
      <c r="G205" s="234">
        <v>0.8</v>
      </c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</row>
    <row r="206" ht="15.75" customHeight="1">
      <c r="A206" s="234" t="s">
        <v>817</v>
      </c>
      <c r="B206" s="234">
        <v>2.09</v>
      </c>
      <c r="C206" s="234">
        <v>2.17</v>
      </c>
      <c r="D206" s="234">
        <v>2.25</v>
      </c>
      <c r="E206" s="234">
        <v>2.32</v>
      </c>
      <c r="F206" s="234">
        <v>2.4</v>
      </c>
      <c r="G206" s="234">
        <v>2.55</v>
      </c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</row>
    <row r="207" ht="15.75" customHeight="1">
      <c r="A207" s="234" t="s">
        <v>818</v>
      </c>
      <c r="B207" s="234">
        <v>0.06</v>
      </c>
      <c r="C207" s="234">
        <v>0.07</v>
      </c>
      <c r="D207" s="234">
        <v>0.07</v>
      </c>
      <c r="E207" s="234">
        <v>0.08</v>
      </c>
      <c r="F207" s="234">
        <v>0.08</v>
      </c>
      <c r="G207" s="234">
        <v>0.09</v>
      </c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</row>
    <row r="208" ht="15.75" customHeight="1">
      <c r="A208" s="234" t="s">
        <v>819</v>
      </c>
      <c r="B208" s="234">
        <v>15.23</v>
      </c>
      <c r="C208" s="234">
        <v>16.35</v>
      </c>
      <c r="D208" s="234">
        <v>17.45</v>
      </c>
      <c r="E208" s="234">
        <v>18.41</v>
      </c>
      <c r="F208" s="234">
        <v>19.43</v>
      </c>
      <c r="G208" s="234">
        <v>20.32</v>
      </c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</row>
    <row r="209" ht="15.75" customHeight="1">
      <c r="A209" s="234" t="s">
        <v>820</v>
      </c>
      <c r="B209" s="234">
        <v>15.46</v>
      </c>
      <c r="C209" s="234">
        <v>16.49</v>
      </c>
      <c r="D209" s="234">
        <v>17.79</v>
      </c>
      <c r="E209" s="234">
        <v>18.79</v>
      </c>
      <c r="F209" s="234">
        <v>20.07</v>
      </c>
      <c r="G209" s="234">
        <v>21.01</v>
      </c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</row>
    <row r="210" ht="15.75" customHeight="1">
      <c r="A210" s="234" t="s">
        <v>821</v>
      </c>
      <c r="B210" s="234">
        <v>0.09</v>
      </c>
      <c r="C210" s="234">
        <v>0.1</v>
      </c>
      <c r="D210" s="234">
        <v>0.11</v>
      </c>
      <c r="E210" s="234">
        <v>0.12</v>
      </c>
      <c r="F210" s="234">
        <v>0.13</v>
      </c>
      <c r="G210" s="234">
        <v>0.14</v>
      </c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</row>
    <row r="211" ht="15.75" customHeight="1">
      <c r="A211" s="234" t="s">
        <v>822</v>
      </c>
      <c r="B211" s="234">
        <v>0.57</v>
      </c>
      <c r="C211" s="234">
        <v>0.62</v>
      </c>
      <c r="D211" s="234">
        <v>0.69</v>
      </c>
      <c r="E211" s="234">
        <v>0.76</v>
      </c>
      <c r="F211" s="234">
        <v>0.84</v>
      </c>
      <c r="G211" s="234">
        <v>0.9</v>
      </c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</row>
    <row r="212" ht="15.75" customHeight="1">
      <c r="A212" s="234" t="s">
        <v>823</v>
      </c>
      <c r="B212" s="234">
        <v>2.41</v>
      </c>
      <c r="C212" s="234">
        <v>2.61</v>
      </c>
      <c r="D212" s="234">
        <v>2.81</v>
      </c>
      <c r="E212" s="234">
        <v>2.99</v>
      </c>
      <c r="F212" s="234">
        <v>3.19</v>
      </c>
      <c r="G212" s="234">
        <v>3.35</v>
      </c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</row>
    <row r="213" ht="15.75" customHeight="1">
      <c r="A213" s="234" t="s">
        <v>824</v>
      </c>
      <c r="B213" s="234">
        <v>0.02</v>
      </c>
      <c r="C213" s="234">
        <v>0.02</v>
      </c>
      <c r="D213" s="234">
        <v>0.03</v>
      </c>
      <c r="E213" s="234">
        <v>0.03</v>
      </c>
      <c r="F213" s="234">
        <v>0.03</v>
      </c>
      <c r="G213" s="234">
        <v>0.03</v>
      </c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</row>
    <row r="214" ht="15.75" customHeight="1">
      <c r="A214" s="234" t="s">
        <v>825</v>
      </c>
      <c r="B214" s="234">
        <v>0.04</v>
      </c>
      <c r="C214" s="234">
        <v>0.04</v>
      </c>
      <c r="D214" s="234">
        <v>0.05</v>
      </c>
      <c r="E214" s="234">
        <v>0.05</v>
      </c>
      <c r="F214" s="234">
        <v>0.06</v>
      </c>
      <c r="G214" s="234">
        <v>0.06</v>
      </c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</row>
    <row r="215" ht="15.75" customHeight="1">
      <c r="A215" s="234" t="s">
        <v>826</v>
      </c>
      <c r="B215" s="234">
        <v>0.26</v>
      </c>
      <c r="C215" s="234">
        <v>0.27</v>
      </c>
      <c r="D215" s="234">
        <v>0.29</v>
      </c>
      <c r="E215" s="234">
        <v>0.3</v>
      </c>
      <c r="F215" s="234">
        <v>0.32</v>
      </c>
      <c r="G215" s="234">
        <v>0.34</v>
      </c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</row>
    <row r="216" ht="15.75" customHeight="1">
      <c r="A216" s="234" t="s">
        <v>827</v>
      </c>
      <c r="B216" s="234">
        <v>3.68</v>
      </c>
      <c r="C216" s="234">
        <v>3.9</v>
      </c>
      <c r="D216" s="234">
        <v>4.11</v>
      </c>
      <c r="E216" s="234">
        <v>4.32</v>
      </c>
      <c r="F216" s="234">
        <v>4.54</v>
      </c>
      <c r="G216" s="234">
        <v>4.76</v>
      </c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</row>
    <row r="217" ht="15.75" customHeight="1">
      <c r="A217" s="234" t="s">
        <v>828</v>
      </c>
      <c r="B217" s="234">
        <v>0.41</v>
      </c>
      <c r="C217" s="234">
        <v>0.46</v>
      </c>
      <c r="D217" s="234">
        <v>0.52</v>
      </c>
      <c r="E217" s="234">
        <v>0.58</v>
      </c>
      <c r="F217" s="234">
        <v>0.64</v>
      </c>
      <c r="G217" s="234">
        <v>0.67</v>
      </c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</row>
    <row r="218" ht="15.75" customHeight="1">
      <c r="A218" s="234" t="s">
        <v>829</v>
      </c>
      <c r="B218" s="234">
        <v>0.3</v>
      </c>
      <c r="C218" s="234">
        <v>0.33</v>
      </c>
      <c r="D218" s="234">
        <v>0.37</v>
      </c>
      <c r="E218" s="234">
        <v>0.4</v>
      </c>
      <c r="F218" s="234">
        <v>0.44</v>
      </c>
      <c r="G218" s="234">
        <v>0.47</v>
      </c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</row>
    <row r="219" ht="15.75" customHeight="1">
      <c r="A219" s="234" t="s">
        <v>830</v>
      </c>
      <c r="B219" s="234">
        <v>3.42</v>
      </c>
      <c r="C219" s="234">
        <v>3.66</v>
      </c>
      <c r="D219" s="234">
        <v>3.93</v>
      </c>
      <c r="E219" s="234">
        <v>4.13</v>
      </c>
      <c r="F219" s="234">
        <v>4.35</v>
      </c>
      <c r="G219" s="234">
        <v>4.6</v>
      </c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</row>
    <row r="220" ht="15.75" customHeight="1">
      <c r="A220" s="234" t="s">
        <v>831</v>
      </c>
      <c r="B220" s="234">
        <v>3.54</v>
      </c>
      <c r="C220" s="234">
        <v>3.76</v>
      </c>
      <c r="D220" s="234">
        <v>4.03</v>
      </c>
      <c r="E220" s="234">
        <v>4.28</v>
      </c>
      <c r="F220" s="234">
        <v>4.56</v>
      </c>
      <c r="G220" s="234">
        <v>4.79</v>
      </c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</row>
    <row r="221" ht="15.75" customHeight="1">
      <c r="A221" s="234" t="s">
        <v>832</v>
      </c>
      <c r="B221" s="234">
        <v>105.3</v>
      </c>
      <c r="C221" s="234">
        <v>114.0</v>
      </c>
      <c r="D221" s="234">
        <v>123.7</v>
      </c>
      <c r="E221" s="234">
        <v>132.1</v>
      </c>
      <c r="F221" s="234">
        <v>140.7</v>
      </c>
      <c r="G221" s="234">
        <v>146.6</v>
      </c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</row>
    <row r="222" ht="15.75" customHeight="1">
      <c r="A222" s="234" t="s">
        <v>833</v>
      </c>
      <c r="B222" s="234">
        <v>522.0</v>
      </c>
      <c r="C222" s="234">
        <v>550.3</v>
      </c>
      <c r="D222" s="234">
        <v>583.1</v>
      </c>
      <c r="E222" s="234">
        <v>613.0</v>
      </c>
      <c r="F222" s="234">
        <v>645.3</v>
      </c>
      <c r="G222" s="234">
        <v>675.2</v>
      </c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</row>
    <row r="223" ht="15.75" customHeight="1">
      <c r="A223" s="234" t="s">
        <v>834</v>
      </c>
      <c r="B223" s="234">
        <v>0.8</v>
      </c>
      <c r="C223" s="234">
        <v>0.85</v>
      </c>
      <c r="D223" s="234">
        <v>0.9</v>
      </c>
      <c r="E223" s="234">
        <v>0.95</v>
      </c>
      <c r="F223" s="234">
        <v>1.0</v>
      </c>
      <c r="G223" s="234">
        <v>1.05</v>
      </c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</row>
    <row r="224" ht="15.75" customHeight="1">
      <c r="A224" s="234" t="s">
        <v>835</v>
      </c>
      <c r="B224" s="234">
        <v>1.6</v>
      </c>
      <c r="C224" s="234">
        <v>1.84</v>
      </c>
      <c r="D224" s="234">
        <v>2.12</v>
      </c>
      <c r="E224" s="234">
        <v>2.4</v>
      </c>
      <c r="F224" s="234">
        <v>2.72</v>
      </c>
      <c r="G224" s="234">
        <v>2.89</v>
      </c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</row>
    <row r="225" ht="15.75" customHeight="1">
      <c r="A225" s="234" t="s">
        <v>836</v>
      </c>
      <c r="B225" s="234">
        <v>1.99</v>
      </c>
      <c r="C225" s="234">
        <v>2.21</v>
      </c>
      <c r="D225" s="234">
        <v>2.45</v>
      </c>
      <c r="E225" s="234">
        <v>2.66</v>
      </c>
      <c r="F225" s="234">
        <v>2.89</v>
      </c>
      <c r="G225" s="234">
        <v>3.11</v>
      </c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</row>
    <row r="226" ht="15.75" customHeight="1">
      <c r="A226" s="234" t="s">
        <v>837</v>
      </c>
      <c r="B226" s="234">
        <v>0.29</v>
      </c>
      <c r="C226" s="234">
        <v>0.31</v>
      </c>
      <c r="D226" s="234">
        <v>0.34</v>
      </c>
      <c r="E226" s="234">
        <v>0.37</v>
      </c>
      <c r="F226" s="234">
        <v>0.4</v>
      </c>
      <c r="G226" s="234">
        <v>0.43</v>
      </c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</row>
    <row r="227" ht="15.75" customHeight="1">
      <c r="A227" s="234" t="s">
        <v>838</v>
      </c>
      <c r="B227" s="234">
        <v>0.21</v>
      </c>
      <c r="C227" s="234">
        <v>0.23</v>
      </c>
      <c r="D227" s="234">
        <v>0.24</v>
      </c>
      <c r="E227" s="234">
        <v>0.24</v>
      </c>
      <c r="F227" s="234">
        <v>0.25</v>
      </c>
      <c r="G227" s="234">
        <v>0.27</v>
      </c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</row>
    <row r="228" ht="15.75" customHeight="1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</row>
    <row r="229" ht="15.75" customHeight="1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  <c r="Z229" s="211"/>
    </row>
    <row r="230" ht="15.75" customHeight="1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  <c r="Z230" s="211"/>
    </row>
    <row r="231" ht="15.75" customHeight="1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  <c r="Z231" s="211"/>
    </row>
    <row r="232" ht="15.75" customHeight="1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  <c r="Z232" s="211"/>
    </row>
    <row r="233" ht="15.75" customHeight="1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  <c r="Z233" s="211"/>
    </row>
    <row r="234" ht="15.75" customHeight="1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  <c r="Z234" s="211"/>
    </row>
    <row r="235" ht="15.75" customHeight="1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  <c r="Z235" s="211"/>
    </row>
    <row r="236" ht="15.75" customHeight="1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  <c r="Z236" s="211"/>
    </row>
    <row r="237" ht="15.75" customHeight="1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  <c r="Z237" s="211"/>
    </row>
    <row r="238" ht="15.75" customHeight="1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  <c r="Z238" s="211"/>
    </row>
    <row r="239" ht="15.75" customHeight="1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  <c r="Z239" s="211"/>
    </row>
    <row r="240" ht="15.75" customHeight="1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  <c r="Z240" s="211"/>
    </row>
    <row r="241" ht="15.75" customHeight="1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  <c r="Z241" s="211"/>
    </row>
    <row r="242" ht="15.75" customHeight="1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  <c r="Z242" s="211"/>
    </row>
    <row r="243" ht="15.75" customHeight="1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  <c r="Z243" s="211"/>
    </row>
    <row r="244" ht="15.75" customHeight="1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</row>
    <row r="245" ht="15.75" customHeight="1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</row>
    <row r="246" ht="15.75" customHeight="1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  <c r="Z246" s="211"/>
    </row>
    <row r="247" ht="15.75" customHeight="1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</row>
    <row r="248" ht="15.75" customHeight="1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</row>
    <row r="249" ht="15.75" customHeight="1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211"/>
    </row>
    <row r="250" ht="15.75" customHeight="1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</row>
    <row r="251" ht="15.75" customHeight="1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  <c r="Z251" s="211"/>
    </row>
    <row r="252" ht="15.75" customHeight="1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211"/>
    </row>
    <row r="253" ht="15.75" customHeight="1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11"/>
    </row>
    <row r="254" ht="15.75" customHeight="1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11"/>
    </row>
    <row r="255" ht="15.75" customHeight="1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11"/>
    </row>
    <row r="256" ht="15.75" customHeight="1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11"/>
    </row>
    <row r="257" ht="15.75" customHeight="1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  <c r="Z257" s="211"/>
    </row>
    <row r="258" ht="15.75" customHeight="1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</row>
    <row r="259" ht="15.75" customHeight="1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  <c r="Z259" s="211"/>
    </row>
    <row r="260" ht="15.75" customHeight="1">
      <c r="A260" s="211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</row>
    <row r="261" ht="15.75" customHeight="1">
      <c r="A261" s="211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  <c r="Z261" s="211"/>
    </row>
    <row r="262" ht="15.75" customHeight="1">
      <c r="A262" s="211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  <c r="Z262" s="211"/>
    </row>
    <row r="263" ht="15.75" customHeight="1">
      <c r="A263" s="211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  <c r="Z263" s="211"/>
    </row>
    <row r="264" ht="15.75" customHeight="1">
      <c r="A264" s="211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  <c r="Z264" s="211"/>
    </row>
    <row r="265" ht="15.75" customHeight="1">
      <c r="A265" s="211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  <c r="Z265" s="211"/>
    </row>
    <row r="266" ht="15.75" customHeight="1">
      <c r="A266" s="211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</row>
    <row r="267" ht="15.75" customHeight="1">
      <c r="A267" s="211"/>
      <c r="B267" s="211"/>
      <c r="C267" s="211"/>
      <c r="D267" s="211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</row>
    <row r="268" ht="15.75" customHeight="1">
      <c r="A268" s="211"/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</row>
    <row r="269" ht="15.75" customHeight="1">
      <c r="A269" s="211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</row>
    <row r="270" ht="15.75" customHeight="1">
      <c r="A270" s="211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</row>
    <row r="271" ht="15.75" customHeight="1">
      <c r="A271" s="211"/>
      <c r="B271" s="211"/>
      <c r="C271" s="211"/>
      <c r="D271" s="211"/>
      <c r="E271" s="21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  <c r="Z271" s="211"/>
    </row>
    <row r="272" ht="15.75" customHeight="1">
      <c r="A272" s="211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  <c r="Z272" s="211"/>
    </row>
    <row r="273" ht="15.75" customHeight="1">
      <c r="A273" s="211"/>
      <c r="B273" s="211"/>
      <c r="C273" s="211"/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  <c r="Z273" s="211"/>
    </row>
    <row r="274" ht="15.75" customHeight="1">
      <c r="A274" s="211"/>
      <c r="B274" s="211"/>
      <c r="C274" s="211"/>
      <c r="D274" s="211"/>
      <c r="E274" s="21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  <c r="Z274" s="211"/>
    </row>
    <row r="275" ht="15.75" customHeight="1">
      <c r="A275" s="211"/>
      <c r="B275" s="211"/>
      <c r="C275" s="211"/>
      <c r="D275" s="211"/>
      <c r="E275" s="211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1"/>
      <c r="X275" s="211"/>
      <c r="Y275" s="211"/>
      <c r="Z275" s="211"/>
    </row>
    <row r="276" ht="15.75" customHeight="1">
      <c r="A276" s="211"/>
      <c r="B276" s="211"/>
      <c r="C276" s="211"/>
      <c r="D276" s="211"/>
      <c r="E276" s="211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1"/>
      <c r="X276" s="211"/>
      <c r="Y276" s="211"/>
      <c r="Z276" s="211"/>
    </row>
    <row r="277" ht="15.75" customHeight="1">
      <c r="A277" s="211"/>
      <c r="B277" s="211"/>
      <c r="C277" s="211"/>
      <c r="D277" s="211"/>
      <c r="E277" s="211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1"/>
      <c r="X277" s="211"/>
      <c r="Y277" s="211"/>
      <c r="Z277" s="211"/>
    </row>
    <row r="278" ht="15.75" customHeight="1">
      <c r="A278" s="211"/>
      <c r="B278" s="211"/>
      <c r="C278" s="211"/>
      <c r="D278" s="211"/>
      <c r="E278" s="21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</row>
    <row r="279" ht="15.75" customHeight="1">
      <c r="A279" s="211"/>
      <c r="B279" s="211"/>
      <c r="C279" s="211"/>
      <c r="D279" s="211"/>
      <c r="E279" s="211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1"/>
      <c r="X279" s="211"/>
      <c r="Y279" s="211"/>
      <c r="Z279" s="211"/>
    </row>
    <row r="280" ht="15.75" customHeight="1">
      <c r="A280" s="211"/>
      <c r="B280" s="211"/>
      <c r="C280" s="211"/>
      <c r="D280" s="211"/>
      <c r="E280" s="211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1"/>
      <c r="X280" s="211"/>
      <c r="Y280" s="211"/>
      <c r="Z280" s="211"/>
    </row>
    <row r="281" ht="15.75" customHeight="1">
      <c r="A281" s="211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1"/>
      <c r="X281" s="211"/>
      <c r="Y281" s="211"/>
      <c r="Z281" s="211"/>
    </row>
    <row r="282" ht="15.75" customHeight="1">
      <c r="A282" s="211"/>
      <c r="B282" s="211"/>
      <c r="C282" s="211"/>
      <c r="D282" s="211"/>
      <c r="E282" s="211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</row>
    <row r="283" ht="15.75" customHeight="1">
      <c r="A283" s="211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1"/>
      <c r="X283" s="211"/>
      <c r="Y283" s="211"/>
      <c r="Z283" s="211"/>
    </row>
    <row r="284" ht="15.75" customHeight="1">
      <c r="A284" s="211"/>
      <c r="B284" s="211"/>
      <c r="C284" s="211"/>
      <c r="D284" s="211"/>
      <c r="E284" s="21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1"/>
      <c r="X284" s="211"/>
      <c r="Y284" s="211"/>
      <c r="Z284" s="211"/>
    </row>
    <row r="285" ht="15.75" customHeight="1">
      <c r="A285" s="211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</row>
    <row r="286" ht="15.75" customHeight="1">
      <c r="A286" s="211"/>
      <c r="B286" s="211"/>
      <c r="C286" s="211"/>
      <c r="D286" s="211"/>
      <c r="E286" s="211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1"/>
      <c r="X286" s="211"/>
      <c r="Y286" s="211"/>
      <c r="Z286" s="211"/>
    </row>
    <row r="287" ht="15.75" customHeight="1">
      <c r="A287" s="211"/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</row>
    <row r="288" ht="15.75" customHeight="1">
      <c r="A288" s="211"/>
      <c r="B288" s="211"/>
      <c r="C288" s="211"/>
      <c r="D288" s="211"/>
      <c r="E288" s="211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1"/>
      <c r="X288" s="211"/>
      <c r="Y288" s="211"/>
      <c r="Z288" s="211"/>
    </row>
    <row r="289" ht="15.75" customHeight="1">
      <c r="A289" s="211"/>
      <c r="B289" s="211"/>
      <c r="C289" s="211"/>
      <c r="D289" s="211"/>
      <c r="E289" s="211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</row>
    <row r="290" ht="15.75" customHeight="1">
      <c r="A290" s="211"/>
      <c r="B290" s="211"/>
      <c r="C290" s="211"/>
      <c r="D290" s="211"/>
      <c r="E290" s="211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</row>
    <row r="291" ht="15.75" customHeight="1">
      <c r="A291" s="211"/>
      <c r="B291" s="211"/>
      <c r="C291" s="211"/>
      <c r="D291" s="211"/>
      <c r="E291" s="211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</row>
    <row r="292" ht="15.75" customHeight="1">
      <c r="A292" s="211"/>
      <c r="B292" s="211"/>
      <c r="C292" s="211"/>
      <c r="D292" s="211"/>
      <c r="E292" s="211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1"/>
      <c r="X292" s="211"/>
      <c r="Y292" s="211"/>
      <c r="Z292" s="211"/>
    </row>
    <row r="293" ht="15.75" customHeight="1">
      <c r="A293" s="211"/>
      <c r="B293" s="211"/>
      <c r="C293" s="211"/>
      <c r="D293" s="211"/>
      <c r="E293" s="21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</row>
    <row r="294" ht="15.75" customHeight="1">
      <c r="A294" s="211"/>
      <c r="B294" s="211"/>
      <c r="C294" s="211"/>
      <c r="D294" s="211"/>
      <c r="E294" s="211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1"/>
      <c r="X294" s="211"/>
      <c r="Y294" s="211"/>
      <c r="Z294" s="211"/>
    </row>
    <row r="295" ht="15.75" customHeight="1">
      <c r="A295" s="211"/>
      <c r="B295" s="211"/>
      <c r="C295" s="211"/>
      <c r="D295" s="211"/>
      <c r="E295" s="211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1"/>
      <c r="X295" s="211"/>
      <c r="Y295" s="211"/>
      <c r="Z295" s="211"/>
    </row>
    <row r="296" ht="15.75" customHeight="1">
      <c r="A296" s="211"/>
      <c r="B296" s="211"/>
      <c r="C296" s="211"/>
      <c r="D296" s="211"/>
      <c r="E296" s="211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</row>
    <row r="297" ht="15.75" customHeight="1">
      <c r="A297" s="211"/>
      <c r="B297" s="211"/>
      <c r="C297" s="211"/>
      <c r="D297" s="211"/>
      <c r="E297" s="211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</row>
    <row r="298" ht="15.75" customHeight="1">
      <c r="A298" s="211"/>
      <c r="B298" s="211"/>
      <c r="C298" s="211"/>
      <c r="D298" s="211"/>
      <c r="E298" s="211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</row>
    <row r="299" ht="15.75" customHeight="1">
      <c r="A299" s="211"/>
      <c r="B299" s="211"/>
      <c r="C299" s="211"/>
      <c r="D299" s="211"/>
      <c r="E299" s="21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</row>
    <row r="300" ht="15.75" customHeight="1">
      <c r="A300" s="211"/>
      <c r="B300" s="211"/>
      <c r="C300" s="211"/>
      <c r="D300" s="211"/>
      <c r="E300" s="211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</row>
    <row r="301" ht="15.75" customHeight="1">
      <c r="A301" s="211"/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</row>
    <row r="302" ht="15.75" customHeight="1">
      <c r="A302" s="211"/>
      <c r="B302" s="211"/>
      <c r="C302" s="211"/>
      <c r="D302" s="211"/>
      <c r="E302" s="211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</row>
    <row r="303" ht="15.75" customHeight="1">
      <c r="A303" s="211"/>
      <c r="B303" s="211"/>
      <c r="C303" s="211"/>
      <c r="D303" s="211"/>
      <c r="E303" s="211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</row>
    <row r="304" ht="15.75" customHeight="1">
      <c r="A304" s="211"/>
      <c r="B304" s="211"/>
      <c r="C304" s="211"/>
      <c r="D304" s="211"/>
      <c r="E304" s="211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</row>
    <row r="305" ht="15.75" customHeight="1">
      <c r="A305" s="211"/>
      <c r="B305" s="211"/>
      <c r="C305" s="211"/>
      <c r="D305" s="211"/>
      <c r="E305" s="211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</row>
    <row r="306" ht="15.75" customHeight="1">
      <c r="A306" s="211"/>
      <c r="B306" s="211"/>
      <c r="C306" s="211"/>
      <c r="D306" s="211"/>
      <c r="E306" s="211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</row>
    <row r="307" ht="15.75" customHeight="1">
      <c r="A307" s="211"/>
      <c r="B307" s="211"/>
      <c r="C307" s="211"/>
      <c r="D307" s="211"/>
      <c r="E307" s="211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</row>
    <row r="308" ht="15.75" customHeight="1">
      <c r="A308" s="211"/>
      <c r="B308" s="211"/>
      <c r="C308" s="211"/>
      <c r="D308" s="211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</row>
    <row r="309" ht="15.75" customHeight="1">
      <c r="A309" s="211"/>
      <c r="B309" s="211"/>
      <c r="C309" s="211"/>
      <c r="D309" s="211"/>
      <c r="E309" s="21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</row>
    <row r="310" ht="15.75" customHeight="1">
      <c r="A310" s="211"/>
      <c r="B310" s="211"/>
      <c r="C310" s="211"/>
      <c r="D310" s="211"/>
      <c r="E310" s="21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</row>
    <row r="311" ht="15.75" customHeight="1">
      <c r="A311" s="211"/>
      <c r="B311" s="211"/>
      <c r="C311" s="211"/>
      <c r="D311" s="211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</row>
    <row r="312" ht="15.75" customHeight="1">
      <c r="A312" s="211"/>
      <c r="B312" s="211"/>
      <c r="C312" s="211"/>
      <c r="D312" s="211"/>
      <c r="E312" s="21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</row>
    <row r="313" ht="15.75" customHeight="1">
      <c r="A313" s="211"/>
      <c r="B313" s="211"/>
      <c r="C313" s="211"/>
      <c r="D313" s="211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</row>
    <row r="314" ht="15.75" customHeight="1">
      <c r="A314" s="211"/>
      <c r="B314" s="211"/>
      <c r="C314" s="211"/>
      <c r="D314" s="211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</row>
    <row r="315" ht="15.75" customHeight="1">
      <c r="A315" s="211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</row>
    <row r="316" ht="15.75" customHeight="1">
      <c r="A316" s="211"/>
      <c r="B316" s="211"/>
      <c r="C316" s="211"/>
      <c r="D316" s="211"/>
      <c r="E316" s="211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</row>
    <row r="317" ht="15.75" customHeight="1">
      <c r="A317" s="211"/>
      <c r="B317" s="211"/>
      <c r="C317" s="211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</row>
    <row r="318" ht="15.75" customHeight="1">
      <c r="A318" s="211"/>
      <c r="B318" s="211"/>
      <c r="C318" s="211"/>
      <c r="D318" s="211"/>
      <c r="E318" s="211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</row>
    <row r="319" ht="15.75" customHeight="1">
      <c r="A319" s="211"/>
      <c r="B319" s="211"/>
      <c r="C319" s="211"/>
      <c r="D319" s="211"/>
      <c r="E319" s="21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</row>
    <row r="320" ht="15.75" customHeight="1">
      <c r="A320" s="211"/>
      <c r="B320" s="211"/>
      <c r="C320" s="211"/>
      <c r="D320" s="211"/>
      <c r="E320" s="211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</row>
    <row r="321" ht="15.75" customHeight="1">
      <c r="A321" s="211"/>
      <c r="B321" s="211"/>
      <c r="C321" s="211"/>
      <c r="D321" s="211"/>
      <c r="E321" s="211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</row>
    <row r="322" ht="15.75" customHeight="1">
      <c r="A322" s="211"/>
      <c r="B322" s="211"/>
      <c r="C322" s="211"/>
      <c r="D322" s="211"/>
      <c r="E322" s="211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</row>
    <row r="323" ht="15.75" customHeight="1">
      <c r="A323" s="211"/>
      <c r="B323" s="211"/>
      <c r="C323" s="211"/>
      <c r="D323" s="211"/>
      <c r="E323" s="211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</row>
    <row r="324" ht="15.75" customHeight="1">
      <c r="A324" s="211"/>
      <c r="B324" s="211"/>
      <c r="C324" s="211"/>
      <c r="D324" s="211"/>
      <c r="E324" s="211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</row>
    <row r="325" ht="15.75" customHeight="1">
      <c r="A325" s="211"/>
      <c r="B325" s="211"/>
      <c r="C325" s="211"/>
      <c r="D325" s="211"/>
      <c r="E325" s="211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</row>
    <row r="326" ht="15.75" customHeight="1">
      <c r="A326" s="211"/>
      <c r="B326" s="211"/>
      <c r="C326" s="211"/>
      <c r="D326" s="211"/>
      <c r="E326" s="211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</row>
    <row r="327" ht="15.75" customHeight="1">
      <c r="A327" s="211"/>
      <c r="B327" s="211"/>
      <c r="C327" s="211"/>
      <c r="D327" s="211"/>
      <c r="E327" s="21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</row>
    <row r="328" ht="15.75" customHeight="1">
      <c r="A328" s="211"/>
      <c r="B328" s="211"/>
      <c r="C328" s="211"/>
      <c r="D328" s="211"/>
      <c r="E328" s="21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</row>
    <row r="329" ht="15.75" customHeight="1">
      <c r="A329" s="211"/>
      <c r="B329" s="211"/>
      <c r="C329" s="211"/>
      <c r="D329" s="211"/>
      <c r="E329" s="211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</row>
    <row r="330" ht="15.75" customHeight="1">
      <c r="A330" s="211"/>
      <c r="B330" s="211"/>
      <c r="C330" s="211"/>
      <c r="D330" s="211"/>
      <c r="E330" s="211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</row>
    <row r="331" ht="15.75" customHeight="1">
      <c r="A331" s="211"/>
      <c r="B331" s="211"/>
      <c r="C331" s="211"/>
      <c r="D331" s="211"/>
      <c r="E331" s="211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</row>
    <row r="332" ht="15.75" customHeight="1">
      <c r="A332" s="211"/>
      <c r="B332" s="211"/>
      <c r="C332" s="211"/>
      <c r="D332" s="211"/>
      <c r="E332" s="211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</row>
    <row r="333" ht="15.75" customHeight="1">
      <c r="A333" s="211"/>
      <c r="B333" s="211"/>
      <c r="C333" s="211"/>
      <c r="D333" s="211"/>
      <c r="E333" s="211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</row>
    <row r="334" ht="15.75" customHeight="1">
      <c r="A334" s="211"/>
      <c r="B334" s="211"/>
      <c r="C334" s="211"/>
      <c r="D334" s="211"/>
      <c r="E334" s="211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</row>
    <row r="335" ht="15.75" customHeight="1">
      <c r="A335" s="211"/>
      <c r="B335" s="211"/>
      <c r="C335" s="211"/>
      <c r="D335" s="211"/>
      <c r="E335" s="211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</row>
    <row r="336" ht="15.75" customHeight="1">
      <c r="A336" s="211"/>
      <c r="B336" s="211"/>
      <c r="C336" s="211"/>
      <c r="D336" s="211"/>
      <c r="E336" s="211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</row>
    <row r="337" ht="15.75" customHeight="1">
      <c r="A337" s="211"/>
      <c r="B337" s="211"/>
      <c r="C337" s="211"/>
      <c r="D337" s="211"/>
      <c r="E337" s="211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</row>
    <row r="338" ht="15.75" customHeight="1">
      <c r="A338" s="211"/>
      <c r="B338" s="211"/>
      <c r="C338" s="211"/>
      <c r="D338" s="211"/>
      <c r="E338" s="211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</row>
    <row r="339" ht="15.75" customHeight="1">
      <c r="A339" s="211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</row>
    <row r="340" ht="15.75" customHeight="1">
      <c r="A340" s="211"/>
      <c r="B340" s="211"/>
      <c r="C340" s="211"/>
      <c r="D340" s="211"/>
      <c r="E340" s="211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</row>
    <row r="341" ht="15.75" customHeight="1">
      <c r="A341" s="211"/>
      <c r="B341" s="211"/>
      <c r="C341" s="211"/>
      <c r="D341" s="211"/>
      <c r="E341" s="211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</row>
    <row r="342" ht="15.75" customHeight="1">
      <c r="A342" s="211"/>
      <c r="B342" s="211"/>
      <c r="C342" s="211"/>
      <c r="D342" s="211"/>
      <c r="E342" s="211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</row>
    <row r="343" ht="15.75" customHeight="1">
      <c r="A343" s="211"/>
      <c r="B343" s="211"/>
      <c r="C343" s="211"/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</row>
    <row r="344" ht="15.75" customHeight="1">
      <c r="A344" s="211"/>
      <c r="B344" s="211"/>
      <c r="C344" s="211"/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</row>
    <row r="345" ht="15.75" customHeight="1">
      <c r="A345" s="211"/>
      <c r="B345" s="211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</row>
    <row r="346" ht="15.75" customHeight="1">
      <c r="A346" s="211"/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</row>
    <row r="347" ht="15.75" customHeight="1">
      <c r="A347" s="211"/>
      <c r="B347" s="211"/>
      <c r="C347" s="211"/>
      <c r="D347" s="211"/>
      <c r="E347" s="211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</row>
    <row r="348" ht="15.75" customHeight="1">
      <c r="A348" s="211"/>
      <c r="B348" s="211"/>
      <c r="C348" s="211"/>
      <c r="D348" s="211"/>
      <c r="E348" s="211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</row>
    <row r="349" ht="15.75" customHeight="1">
      <c r="A349" s="211"/>
      <c r="B349" s="211"/>
      <c r="C349" s="211"/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</row>
    <row r="350" ht="15.75" customHeight="1">
      <c r="A350" s="211"/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</row>
    <row r="351" ht="15.75" customHeight="1">
      <c r="A351" s="211"/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</row>
    <row r="352" ht="15.75" customHeight="1">
      <c r="A352" s="211"/>
      <c r="B352" s="211"/>
      <c r="C352" s="211"/>
      <c r="D352" s="211"/>
      <c r="E352" s="211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</row>
    <row r="353" ht="15.75" customHeight="1">
      <c r="A353" s="211"/>
      <c r="B353" s="211"/>
      <c r="C353" s="211"/>
      <c r="D353" s="211"/>
      <c r="E353" s="211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</row>
    <row r="354" ht="15.75" customHeight="1">
      <c r="A354" s="211"/>
      <c r="B354" s="211"/>
      <c r="C354" s="211"/>
      <c r="D354" s="211"/>
      <c r="E354" s="211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</row>
    <row r="355" ht="15.75" customHeight="1">
      <c r="A355" s="211"/>
      <c r="B355" s="211"/>
      <c r="C355" s="211"/>
      <c r="D355" s="211"/>
      <c r="E355" s="211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</row>
    <row r="356" ht="15.75" customHeight="1">
      <c r="A356" s="211"/>
      <c r="B356" s="211"/>
      <c r="C356" s="211"/>
      <c r="D356" s="211"/>
      <c r="E356" s="211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</row>
    <row r="357" ht="15.75" customHeight="1">
      <c r="A357" s="211"/>
      <c r="B357" s="211"/>
      <c r="C357" s="211"/>
      <c r="D357" s="211"/>
      <c r="E357" s="211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</row>
    <row r="358" ht="15.75" customHeight="1">
      <c r="A358" s="211"/>
      <c r="B358" s="211"/>
      <c r="C358" s="211"/>
      <c r="D358" s="211"/>
      <c r="E358" s="211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</row>
    <row r="359" ht="15.75" customHeight="1">
      <c r="A359" s="211"/>
      <c r="B359" s="211"/>
      <c r="C359" s="211"/>
      <c r="D359" s="211"/>
      <c r="E359" s="211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</row>
    <row r="360" ht="15.75" customHeight="1">
      <c r="A360" s="211"/>
      <c r="B360" s="211"/>
      <c r="C360" s="211"/>
      <c r="D360" s="211"/>
      <c r="E360" s="211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</row>
    <row r="361" ht="15.75" customHeight="1">
      <c r="A361" s="211"/>
      <c r="B361" s="211"/>
      <c r="C361" s="211"/>
      <c r="D361" s="211"/>
      <c r="E361" s="211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</row>
    <row r="362" ht="15.75" customHeight="1">
      <c r="A362" s="211"/>
      <c r="B362" s="211"/>
      <c r="C362" s="211"/>
      <c r="D362" s="211"/>
      <c r="E362" s="211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</row>
    <row r="363" ht="15.75" customHeight="1">
      <c r="A363" s="211"/>
      <c r="B363" s="211"/>
      <c r="C363" s="211"/>
      <c r="D363" s="211"/>
      <c r="E363" s="211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</row>
    <row r="364" ht="15.75" customHeight="1">
      <c r="A364" s="211"/>
      <c r="B364" s="211"/>
      <c r="C364" s="211"/>
      <c r="D364" s="211"/>
      <c r="E364" s="211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</row>
    <row r="365" ht="15.75" customHeight="1">
      <c r="A365" s="211"/>
      <c r="B365" s="211"/>
      <c r="C365" s="211"/>
      <c r="D365" s="211"/>
      <c r="E365" s="211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</row>
    <row r="366" ht="15.75" customHeight="1">
      <c r="A366" s="211"/>
      <c r="B366" s="211"/>
      <c r="C366" s="211"/>
      <c r="D366" s="211"/>
      <c r="E366" s="211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</row>
    <row r="367" ht="15.75" customHeight="1">
      <c r="A367" s="211"/>
      <c r="B367" s="211"/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</row>
    <row r="368" ht="15.75" customHeight="1">
      <c r="A368" s="211"/>
      <c r="B368" s="211"/>
      <c r="C368" s="211"/>
      <c r="D368" s="211"/>
      <c r="E368" s="211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</row>
    <row r="369" ht="15.75" customHeight="1">
      <c r="A369" s="211"/>
      <c r="B369" s="211"/>
      <c r="C369" s="211"/>
      <c r="D369" s="211"/>
      <c r="E369" s="211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</row>
    <row r="370" ht="15.75" customHeight="1">
      <c r="A370" s="211"/>
      <c r="B370" s="211"/>
      <c r="C370" s="211"/>
      <c r="D370" s="211"/>
      <c r="E370" s="211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</row>
    <row r="371" ht="15.75" customHeight="1">
      <c r="A371" s="211"/>
      <c r="B371" s="211"/>
      <c r="C371" s="211"/>
      <c r="D371" s="211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</row>
    <row r="372" ht="15.75" customHeight="1">
      <c r="A372" s="211"/>
      <c r="B372" s="211"/>
      <c r="C372" s="211"/>
      <c r="D372" s="211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</row>
    <row r="373" ht="15.75" customHeight="1">
      <c r="A373" s="211"/>
      <c r="B373" s="211"/>
      <c r="C373" s="211"/>
      <c r="D373" s="211"/>
      <c r="E373" s="21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</row>
    <row r="374" ht="15.75" customHeight="1">
      <c r="A374" s="211"/>
      <c r="B374" s="211"/>
      <c r="C374" s="211"/>
      <c r="D374" s="211"/>
      <c r="E374" s="211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</row>
    <row r="375" ht="15.75" customHeight="1">
      <c r="A375" s="211"/>
      <c r="B375" s="211"/>
      <c r="C375" s="211"/>
      <c r="D375" s="211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</row>
    <row r="376" ht="15.75" customHeight="1">
      <c r="A376" s="211"/>
      <c r="B376" s="211"/>
      <c r="C376" s="211"/>
      <c r="D376" s="211"/>
      <c r="E376" s="21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</row>
    <row r="377" ht="15.75" customHeight="1">
      <c r="A377" s="211"/>
      <c r="B377" s="211"/>
      <c r="C377" s="211"/>
      <c r="D377" s="211"/>
      <c r="E377" s="211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</row>
    <row r="378" ht="15.75" customHeight="1">
      <c r="A378" s="211"/>
      <c r="B378" s="211"/>
      <c r="C378" s="211"/>
      <c r="D378" s="211"/>
      <c r="E378" s="211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</row>
    <row r="379" ht="15.75" customHeight="1">
      <c r="A379" s="211"/>
      <c r="B379" s="211"/>
      <c r="C379" s="211"/>
      <c r="D379" s="211"/>
      <c r="E379" s="211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</row>
    <row r="380" ht="15.75" customHeight="1">
      <c r="A380" s="211"/>
      <c r="B380" s="211"/>
      <c r="C380" s="211"/>
      <c r="D380" s="211"/>
      <c r="E380" s="211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</row>
    <row r="381" ht="15.75" customHeight="1">
      <c r="A381" s="211"/>
      <c r="B381" s="211"/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</row>
    <row r="382" ht="15.75" customHeight="1">
      <c r="A382" s="211"/>
      <c r="B382" s="211"/>
      <c r="C382" s="211"/>
      <c r="D382" s="211"/>
      <c r="E382" s="211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</row>
    <row r="383" ht="15.75" customHeight="1">
      <c r="A383" s="211"/>
      <c r="B383" s="211"/>
      <c r="C383" s="211"/>
      <c r="D383" s="211"/>
      <c r="E383" s="211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</row>
    <row r="384" ht="15.75" customHeight="1">
      <c r="A384" s="211"/>
      <c r="B384" s="211"/>
      <c r="C384" s="211"/>
      <c r="D384" s="211"/>
      <c r="E384" s="211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</row>
    <row r="385" ht="15.75" customHeight="1">
      <c r="A385" s="211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</row>
    <row r="386" ht="15.75" customHeight="1">
      <c r="A386" s="211"/>
      <c r="B386" s="211"/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</row>
    <row r="387" ht="15.75" customHeight="1">
      <c r="A387" s="211"/>
      <c r="B387" s="211"/>
      <c r="C387" s="211"/>
      <c r="D387" s="211"/>
      <c r="E387" s="211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</row>
    <row r="388" ht="15.75" customHeight="1">
      <c r="A388" s="211"/>
      <c r="B388" s="211"/>
      <c r="C388" s="211"/>
      <c r="D388" s="211"/>
      <c r="E388" s="211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</row>
    <row r="389" ht="15.75" customHeight="1">
      <c r="A389" s="211"/>
      <c r="B389" s="211"/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</row>
    <row r="390" ht="15.75" customHeight="1">
      <c r="A390" s="211"/>
      <c r="B390" s="211"/>
      <c r="C390" s="211"/>
      <c r="D390" s="211"/>
      <c r="E390" s="211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</row>
    <row r="391" ht="15.75" customHeight="1">
      <c r="A391" s="211"/>
      <c r="B391" s="211"/>
      <c r="C391" s="211"/>
      <c r="D391" s="211"/>
      <c r="E391" s="211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</row>
    <row r="392" ht="15.75" customHeight="1">
      <c r="A392" s="211"/>
      <c r="B392" s="211"/>
      <c r="C392" s="211"/>
      <c r="D392" s="211"/>
      <c r="E392" s="211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</row>
    <row r="393" ht="15.75" customHeight="1">
      <c r="A393" s="211"/>
      <c r="B393" s="211"/>
      <c r="C393" s="211"/>
      <c r="D393" s="211"/>
      <c r="E393" s="21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</row>
    <row r="394" ht="15.75" customHeight="1">
      <c r="A394" s="211"/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</row>
    <row r="395" ht="15.75" customHeight="1">
      <c r="A395" s="211"/>
      <c r="B395" s="211"/>
      <c r="C395" s="211"/>
      <c r="D395" s="211"/>
      <c r="E395" s="211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</row>
    <row r="396" ht="15.75" customHeight="1">
      <c r="A396" s="211"/>
      <c r="B396" s="211"/>
      <c r="C396" s="211"/>
      <c r="D396" s="211"/>
      <c r="E396" s="21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</row>
    <row r="397" ht="15.75" customHeight="1">
      <c r="A397" s="211"/>
      <c r="B397" s="211"/>
      <c r="C397" s="211"/>
      <c r="D397" s="211"/>
      <c r="E397" s="211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</row>
    <row r="398" ht="15.75" customHeight="1">
      <c r="A398" s="211"/>
      <c r="B398" s="211"/>
      <c r="C398" s="211"/>
      <c r="D398" s="211"/>
      <c r="E398" s="211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</row>
    <row r="399" ht="15.75" customHeight="1">
      <c r="A399" s="211"/>
      <c r="B399" s="211"/>
      <c r="C399" s="211"/>
      <c r="D399" s="211"/>
      <c r="E399" s="211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</row>
    <row r="400" ht="15.75" customHeight="1">
      <c r="A400" s="211"/>
      <c r="B400" s="211"/>
      <c r="C400" s="211"/>
      <c r="D400" s="211"/>
      <c r="E400" s="211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</row>
    <row r="401" ht="15.75" customHeight="1">
      <c r="A401" s="211"/>
      <c r="B401" s="211"/>
      <c r="C401" s="211"/>
      <c r="D401" s="211"/>
      <c r="E401" s="211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</row>
    <row r="402" ht="15.75" customHeight="1">
      <c r="A402" s="211"/>
      <c r="B402" s="211"/>
      <c r="C402" s="211"/>
      <c r="D402" s="211"/>
      <c r="E402" s="211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</row>
    <row r="403" ht="15.75" customHeight="1">
      <c r="A403" s="211"/>
      <c r="B403" s="211"/>
      <c r="C403" s="211"/>
      <c r="D403" s="211"/>
      <c r="E403" s="211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</row>
    <row r="404" ht="15.75" customHeight="1">
      <c r="A404" s="211"/>
      <c r="B404" s="211"/>
      <c r="C404" s="211"/>
      <c r="D404" s="211"/>
      <c r="E404" s="211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</row>
    <row r="405" ht="15.75" customHeight="1">
      <c r="A405" s="211"/>
      <c r="B405" s="211"/>
      <c r="C405" s="211"/>
      <c r="D405" s="211"/>
      <c r="E405" s="211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</row>
    <row r="406" ht="15.75" customHeight="1">
      <c r="A406" s="211"/>
      <c r="B406" s="211"/>
      <c r="C406" s="211"/>
      <c r="D406" s="211"/>
      <c r="E406" s="211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</row>
    <row r="407" ht="15.75" customHeight="1">
      <c r="A407" s="211"/>
      <c r="B407" s="211"/>
      <c r="C407" s="211"/>
      <c r="D407" s="211"/>
      <c r="E407" s="211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</row>
    <row r="408" ht="15.75" customHeight="1">
      <c r="A408" s="211"/>
      <c r="B408" s="211"/>
      <c r="C408" s="211"/>
      <c r="D408" s="211"/>
      <c r="E408" s="21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</row>
    <row r="409" ht="15.75" customHeight="1">
      <c r="A409" s="211"/>
      <c r="B409" s="211"/>
      <c r="C409" s="211"/>
      <c r="D409" s="211"/>
      <c r="E409" s="211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</row>
    <row r="410" ht="15.75" customHeight="1">
      <c r="A410" s="211"/>
      <c r="B410" s="211"/>
      <c r="C410" s="211"/>
      <c r="D410" s="211"/>
      <c r="E410" s="211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</row>
    <row r="411" ht="15.75" customHeight="1">
      <c r="A411" s="211"/>
      <c r="B411" s="211"/>
      <c r="C411" s="211"/>
      <c r="D411" s="211"/>
      <c r="E411" s="211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</row>
    <row r="412" ht="15.75" customHeight="1">
      <c r="A412" s="211"/>
      <c r="B412" s="211"/>
      <c r="C412" s="211"/>
      <c r="D412" s="211"/>
      <c r="E412" s="211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</row>
    <row r="413" ht="15.75" customHeight="1">
      <c r="A413" s="211"/>
      <c r="B413" s="211"/>
      <c r="C413" s="211"/>
      <c r="D413" s="211"/>
      <c r="E413" s="211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</row>
    <row r="414" ht="15.75" customHeight="1">
      <c r="A414" s="211"/>
      <c r="B414" s="211"/>
      <c r="C414" s="211"/>
      <c r="D414" s="211"/>
      <c r="E414" s="21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</row>
    <row r="415" ht="15.75" customHeight="1">
      <c r="A415" s="211"/>
      <c r="B415" s="211"/>
      <c r="C415" s="211"/>
      <c r="D415" s="211"/>
      <c r="E415" s="211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</row>
    <row r="416" ht="15.75" customHeight="1">
      <c r="A416" s="211"/>
      <c r="B416" s="211"/>
      <c r="C416" s="211"/>
      <c r="D416" s="211"/>
      <c r="E416" s="211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</row>
    <row r="417" ht="15.75" customHeight="1">
      <c r="A417" s="211"/>
      <c r="B417" s="211"/>
      <c r="C417" s="211"/>
      <c r="D417" s="211"/>
      <c r="E417" s="211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</row>
    <row r="418" ht="15.75" customHeight="1">
      <c r="A418" s="211"/>
      <c r="B418" s="211"/>
      <c r="C418" s="211"/>
      <c r="D418" s="211"/>
      <c r="E418" s="211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</row>
    <row r="419" ht="15.75" customHeight="1">
      <c r="A419" s="211"/>
      <c r="B419" s="211"/>
      <c r="C419" s="211"/>
      <c r="D419" s="211"/>
      <c r="E419" s="211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</row>
    <row r="420" ht="15.75" customHeight="1">
      <c r="A420" s="211"/>
      <c r="B420" s="211"/>
      <c r="C420" s="211"/>
      <c r="D420" s="211"/>
      <c r="E420" s="211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</row>
    <row r="421" ht="15.75" customHeight="1">
      <c r="A421" s="211"/>
      <c r="B421" s="211"/>
      <c r="C421" s="211"/>
      <c r="D421" s="211"/>
      <c r="E421" s="211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</row>
    <row r="422" ht="15.75" customHeight="1">
      <c r="A422" s="211"/>
      <c r="B422" s="211"/>
      <c r="C422" s="211"/>
      <c r="D422" s="211"/>
      <c r="E422" s="211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</row>
    <row r="423" ht="15.75" customHeight="1">
      <c r="A423" s="211"/>
      <c r="B423" s="211"/>
      <c r="C423" s="211"/>
      <c r="D423" s="211"/>
      <c r="E423" s="211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</row>
    <row r="424" ht="15.75" customHeight="1">
      <c r="A424" s="211"/>
      <c r="B424" s="211"/>
      <c r="C424" s="211"/>
      <c r="D424" s="211"/>
      <c r="E424" s="211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</row>
    <row r="425" ht="15.75" customHeight="1">
      <c r="A425" s="211"/>
      <c r="B425" s="211"/>
      <c r="C425" s="211"/>
      <c r="D425" s="211"/>
      <c r="E425" s="211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</row>
    <row r="426" ht="15.75" customHeight="1">
      <c r="A426" s="211"/>
      <c r="B426" s="211"/>
      <c r="C426" s="211"/>
      <c r="D426" s="211"/>
      <c r="E426" s="211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</row>
    <row r="427" ht="15.75" customHeight="1">
      <c r="A427" s="211"/>
      <c r="B427" s="211"/>
      <c r="C427" s="211"/>
      <c r="D427" s="211"/>
      <c r="E427" s="211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</row>
    <row r="428" ht="15.75" customHeight="1">
      <c r="A428" s="211"/>
      <c r="B428" s="211"/>
      <c r="C428" s="211"/>
      <c r="D428" s="211"/>
      <c r="E428" s="211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</row>
    <row r="429" ht="15.75" customHeight="1">
      <c r="A429" s="211"/>
      <c r="B429" s="211"/>
      <c r="C429" s="211"/>
      <c r="D429" s="211"/>
      <c r="E429" s="21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</row>
    <row r="430" ht="15.75" customHeight="1">
      <c r="A430" s="211"/>
      <c r="B430" s="211"/>
      <c r="C430" s="211"/>
      <c r="D430" s="211"/>
      <c r="E430" s="211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</row>
    <row r="431" ht="15.75" customHeight="1">
      <c r="A431" s="211"/>
      <c r="B431" s="211"/>
      <c r="C431" s="211"/>
      <c r="D431" s="211"/>
      <c r="E431" s="211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</row>
    <row r="432" ht="15.75" customHeight="1">
      <c r="A432" s="211"/>
      <c r="B432" s="211"/>
      <c r="C432" s="211"/>
      <c r="D432" s="211"/>
      <c r="E432" s="211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</row>
    <row r="433" ht="15.75" customHeight="1">
      <c r="A433" s="211"/>
      <c r="B433" s="211"/>
      <c r="C433" s="211"/>
      <c r="D433" s="211"/>
      <c r="E433" s="21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</row>
    <row r="434" ht="15.75" customHeight="1">
      <c r="A434" s="211"/>
      <c r="B434" s="211"/>
      <c r="C434" s="211"/>
      <c r="D434" s="211"/>
      <c r="E434" s="21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</row>
    <row r="435" ht="15.75" customHeight="1">
      <c r="A435" s="211"/>
      <c r="B435" s="211"/>
      <c r="C435" s="211"/>
      <c r="D435" s="211"/>
      <c r="E435" s="21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</row>
    <row r="436" ht="15.75" customHeight="1">
      <c r="A436" s="211"/>
      <c r="B436" s="211"/>
      <c r="C436" s="211"/>
      <c r="D436" s="211"/>
      <c r="E436" s="21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</row>
    <row r="437" ht="15.75" customHeight="1">
      <c r="A437" s="211"/>
      <c r="B437" s="211"/>
      <c r="C437" s="211"/>
      <c r="D437" s="211"/>
      <c r="E437" s="211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</row>
    <row r="438" ht="15.75" customHeight="1">
      <c r="A438" s="211"/>
      <c r="B438" s="211"/>
      <c r="C438" s="211"/>
      <c r="D438" s="211"/>
      <c r="E438" s="211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</row>
    <row r="439" ht="15.75" customHeight="1">
      <c r="A439" s="211"/>
      <c r="B439" s="211"/>
      <c r="C439" s="211"/>
      <c r="D439" s="211"/>
      <c r="E439" s="211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</row>
    <row r="440" ht="15.75" customHeight="1">
      <c r="A440" s="211"/>
      <c r="B440" s="211"/>
      <c r="C440" s="211"/>
      <c r="D440" s="211"/>
      <c r="E440" s="211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</row>
    <row r="441" ht="15.75" customHeight="1">
      <c r="A441" s="211"/>
      <c r="B441" s="211"/>
      <c r="C441" s="211"/>
      <c r="D441" s="211"/>
      <c r="E441" s="211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</row>
    <row r="442" ht="15.75" customHeight="1">
      <c r="A442" s="211"/>
      <c r="B442" s="211"/>
      <c r="C442" s="211"/>
      <c r="D442" s="211"/>
      <c r="E442" s="211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</row>
    <row r="443" ht="15.75" customHeight="1">
      <c r="A443" s="211"/>
      <c r="B443" s="211"/>
      <c r="C443" s="211"/>
      <c r="D443" s="211"/>
      <c r="E443" s="21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</row>
    <row r="444" ht="15.75" customHeight="1">
      <c r="A444" s="211"/>
      <c r="B444" s="211"/>
      <c r="C444" s="211"/>
      <c r="D444" s="211"/>
      <c r="E444" s="211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</row>
    <row r="445" ht="15.75" customHeight="1">
      <c r="A445" s="211"/>
      <c r="B445" s="211"/>
      <c r="C445" s="211"/>
      <c r="D445" s="211"/>
      <c r="E445" s="211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</row>
    <row r="446" ht="15.75" customHeight="1">
      <c r="A446" s="211"/>
      <c r="B446" s="211"/>
      <c r="C446" s="211"/>
      <c r="D446" s="211"/>
      <c r="E446" s="211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</row>
    <row r="447" ht="15.75" customHeight="1">
      <c r="A447" s="211"/>
      <c r="B447" s="211"/>
      <c r="C447" s="211"/>
      <c r="D447" s="211"/>
      <c r="E447" s="211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</row>
    <row r="448" ht="15.75" customHeight="1">
      <c r="A448" s="211"/>
      <c r="B448" s="211"/>
      <c r="C448" s="211"/>
      <c r="D448" s="211"/>
      <c r="E448" s="211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</row>
    <row r="449" ht="15.75" customHeight="1">
      <c r="A449" s="211"/>
      <c r="B449" s="211"/>
      <c r="C449" s="211"/>
      <c r="D449" s="211"/>
      <c r="E449" s="211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</row>
    <row r="450" ht="15.75" customHeight="1">
      <c r="A450" s="211"/>
      <c r="B450" s="211"/>
      <c r="C450" s="211"/>
      <c r="D450" s="211"/>
      <c r="E450" s="211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</row>
    <row r="451" ht="15.75" customHeight="1">
      <c r="A451" s="211"/>
      <c r="B451" s="211"/>
      <c r="C451" s="211"/>
      <c r="D451" s="211"/>
      <c r="E451" s="211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</row>
    <row r="452" ht="15.75" customHeight="1">
      <c r="A452" s="211"/>
      <c r="B452" s="211"/>
      <c r="C452" s="211"/>
      <c r="D452" s="211"/>
      <c r="E452" s="211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</row>
    <row r="453" ht="15.75" customHeight="1">
      <c r="A453" s="211"/>
      <c r="B453" s="211"/>
      <c r="C453" s="211"/>
      <c r="D453" s="211"/>
      <c r="E453" s="211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</row>
    <row r="454" ht="15.75" customHeight="1">
      <c r="A454" s="211"/>
      <c r="B454" s="211"/>
      <c r="C454" s="211"/>
      <c r="D454" s="211"/>
      <c r="E454" s="211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</row>
    <row r="455" ht="15.75" customHeight="1">
      <c r="A455" s="211"/>
      <c r="B455" s="211"/>
      <c r="C455" s="211"/>
      <c r="D455" s="211"/>
      <c r="E455" s="21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</row>
    <row r="456" ht="15.75" customHeight="1">
      <c r="A456" s="211"/>
      <c r="B456" s="211"/>
      <c r="C456" s="211"/>
      <c r="D456" s="211"/>
      <c r="E456" s="21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</row>
    <row r="457" ht="15.75" customHeight="1">
      <c r="A457" s="211"/>
      <c r="B457" s="211"/>
      <c r="C457" s="211"/>
      <c r="D457" s="211"/>
      <c r="E457" s="21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</row>
    <row r="458" ht="15.75" customHeight="1">
      <c r="A458" s="211"/>
      <c r="B458" s="211"/>
      <c r="C458" s="211"/>
      <c r="D458" s="211"/>
      <c r="E458" s="21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</row>
    <row r="459" ht="15.75" customHeight="1">
      <c r="A459" s="211"/>
      <c r="B459" s="211"/>
      <c r="C459" s="211"/>
      <c r="D459" s="211"/>
      <c r="E459" s="21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</row>
    <row r="460" ht="15.75" customHeight="1">
      <c r="A460" s="211"/>
      <c r="B460" s="211"/>
      <c r="C460" s="211"/>
      <c r="D460" s="211"/>
      <c r="E460" s="21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</row>
    <row r="461" ht="15.75" customHeight="1">
      <c r="A461" s="211"/>
      <c r="B461" s="211"/>
      <c r="C461" s="211"/>
      <c r="D461" s="211"/>
      <c r="E461" s="21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</row>
    <row r="462" ht="15.75" customHeight="1">
      <c r="A462" s="211"/>
      <c r="B462" s="211"/>
      <c r="C462" s="211"/>
      <c r="D462" s="211"/>
      <c r="E462" s="21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</row>
    <row r="463" ht="15.75" customHeight="1">
      <c r="A463" s="211"/>
      <c r="B463" s="211"/>
      <c r="C463" s="211"/>
      <c r="D463" s="211"/>
      <c r="E463" s="21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</row>
    <row r="464" ht="15.75" customHeight="1">
      <c r="A464" s="211"/>
      <c r="B464" s="211"/>
      <c r="C464" s="211"/>
      <c r="D464" s="211"/>
      <c r="E464" s="21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</row>
    <row r="465" ht="15.75" customHeight="1">
      <c r="A465" s="211"/>
      <c r="B465" s="211"/>
      <c r="C465" s="211"/>
      <c r="D465" s="211"/>
      <c r="E465" s="21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</row>
    <row r="466" ht="15.75" customHeight="1">
      <c r="A466" s="211"/>
      <c r="B466" s="211"/>
      <c r="C466" s="211"/>
      <c r="D466" s="211"/>
      <c r="E466" s="21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</row>
    <row r="467" ht="15.75" customHeight="1">
      <c r="A467" s="211"/>
      <c r="B467" s="211"/>
      <c r="C467" s="211"/>
      <c r="D467" s="211"/>
      <c r="E467" s="21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</row>
    <row r="468" ht="15.75" customHeight="1">
      <c r="A468" s="211"/>
      <c r="B468" s="211"/>
      <c r="C468" s="211"/>
      <c r="D468" s="211"/>
      <c r="E468" s="21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</row>
    <row r="469" ht="15.75" customHeight="1">
      <c r="A469" s="211"/>
      <c r="B469" s="211"/>
      <c r="C469" s="211"/>
      <c r="D469" s="211"/>
      <c r="E469" s="21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</row>
    <row r="470" ht="15.75" customHeight="1">
      <c r="A470" s="211"/>
      <c r="B470" s="211"/>
      <c r="C470" s="211"/>
      <c r="D470" s="211"/>
      <c r="E470" s="21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</row>
    <row r="471" ht="15.75" customHeight="1">
      <c r="A471" s="211"/>
      <c r="B471" s="211"/>
      <c r="C471" s="211"/>
      <c r="D471" s="211"/>
      <c r="E471" s="21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</row>
    <row r="472" ht="15.75" customHeight="1">
      <c r="A472" s="211"/>
      <c r="B472" s="211"/>
      <c r="C472" s="211"/>
      <c r="D472" s="211"/>
      <c r="E472" s="21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</row>
    <row r="473" ht="15.75" customHeight="1">
      <c r="A473" s="211"/>
      <c r="B473" s="211"/>
      <c r="C473" s="211"/>
      <c r="D473" s="211"/>
      <c r="E473" s="21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</row>
    <row r="474" ht="15.75" customHeight="1">
      <c r="A474" s="211"/>
      <c r="B474" s="211"/>
      <c r="C474" s="211"/>
      <c r="D474" s="211"/>
      <c r="E474" s="21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</row>
    <row r="475" ht="15.75" customHeight="1">
      <c r="A475" s="211"/>
      <c r="B475" s="211"/>
      <c r="C475" s="211"/>
      <c r="D475" s="211"/>
      <c r="E475" s="21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</row>
    <row r="476" ht="15.75" customHeight="1">
      <c r="A476" s="211"/>
      <c r="B476" s="211"/>
      <c r="C476" s="211"/>
      <c r="D476" s="211"/>
      <c r="E476" s="21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</row>
    <row r="477" ht="15.75" customHeight="1">
      <c r="A477" s="211"/>
      <c r="B477" s="211"/>
      <c r="C477" s="211"/>
      <c r="D477" s="211"/>
      <c r="E477" s="21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</row>
    <row r="478" ht="15.75" customHeight="1">
      <c r="A478" s="211"/>
      <c r="B478" s="211"/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</row>
    <row r="479" ht="15.75" customHeight="1">
      <c r="A479" s="211"/>
      <c r="B479" s="211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</row>
    <row r="480" ht="15.75" customHeight="1">
      <c r="A480" s="211"/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</row>
    <row r="481" ht="15.75" customHeight="1">
      <c r="A481" s="211"/>
      <c r="B481" s="211"/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</row>
    <row r="482" ht="15.75" customHeight="1">
      <c r="A482" s="211"/>
      <c r="B482" s="211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</row>
    <row r="483" ht="15.75" customHeight="1">
      <c r="A483" s="211"/>
      <c r="B483" s="211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</row>
    <row r="484" ht="15.75" customHeight="1">
      <c r="A484" s="211"/>
      <c r="B484" s="211"/>
      <c r="C484" s="211"/>
      <c r="D484" s="211"/>
      <c r="E484" s="21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</row>
    <row r="485" ht="15.75" customHeight="1">
      <c r="A485" s="211"/>
      <c r="B485" s="211"/>
      <c r="C485" s="211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</row>
    <row r="486" ht="15.75" customHeight="1">
      <c r="A486" s="211"/>
      <c r="B486" s="211"/>
      <c r="C486" s="211"/>
      <c r="D486" s="211"/>
      <c r="E486" s="21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</row>
    <row r="487" ht="15.75" customHeight="1">
      <c r="A487" s="211"/>
      <c r="B487" s="211"/>
      <c r="C487" s="211"/>
      <c r="D487" s="211"/>
      <c r="E487" s="21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</row>
    <row r="488" ht="15.75" customHeight="1">
      <c r="A488" s="211"/>
      <c r="B488" s="211"/>
      <c r="C488" s="211"/>
      <c r="D488" s="211"/>
      <c r="E488" s="21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</row>
    <row r="489" ht="15.75" customHeight="1">
      <c r="A489" s="211"/>
      <c r="B489" s="211"/>
      <c r="C489" s="211"/>
      <c r="D489" s="211"/>
      <c r="E489" s="21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</row>
    <row r="490" ht="15.75" customHeight="1">
      <c r="A490" s="211"/>
      <c r="B490" s="211"/>
      <c r="C490" s="211"/>
      <c r="D490" s="211"/>
      <c r="E490" s="21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</row>
    <row r="491" ht="15.75" customHeight="1">
      <c r="A491" s="211"/>
      <c r="B491" s="211"/>
      <c r="C491" s="211"/>
      <c r="D491" s="211"/>
      <c r="E491" s="21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</row>
    <row r="492" ht="15.75" customHeight="1">
      <c r="A492" s="211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</row>
    <row r="493" ht="15.75" customHeight="1">
      <c r="A493" s="211"/>
      <c r="B493" s="211"/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</row>
    <row r="494" ht="15.75" customHeight="1">
      <c r="A494" s="211"/>
      <c r="B494" s="211"/>
      <c r="C494" s="211"/>
      <c r="D494" s="211"/>
      <c r="E494" s="21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</row>
    <row r="495" ht="15.75" customHeight="1">
      <c r="A495" s="211"/>
      <c r="B495" s="211"/>
      <c r="C495" s="211"/>
      <c r="D495" s="211"/>
      <c r="E495" s="21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</row>
    <row r="496" ht="15.75" customHeight="1">
      <c r="A496" s="211"/>
      <c r="B496" s="211"/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</row>
    <row r="497" ht="15.75" customHeight="1">
      <c r="A497" s="211"/>
      <c r="B497" s="211"/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</row>
    <row r="498" ht="15.75" customHeight="1">
      <c r="A498" s="211"/>
      <c r="B498" s="211"/>
      <c r="C498" s="211"/>
      <c r="D498" s="211"/>
      <c r="E498" s="21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</row>
    <row r="499" ht="15.75" customHeight="1">
      <c r="A499" s="211"/>
      <c r="B499" s="211"/>
      <c r="C499" s="211"/>
      <c r="D499" s="211"/>
      <c r="E499" s="21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</row>
    <row r="500" ht="15.75" customHeight="1">
      <c r="A500" s="211"/>
      <c r="B500" s="211"/>
      <c r="C500" s="211"/>
      <c r="D500" s="211"/>
      <c r="E500" s="21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</row>
    <row r="501" ht="15.75" customHeight="1">
      <c r="A501" s="211"/>
      <c r="B501" s="211"/>
      <c r="C501" s="211"/>
      <c r="D501" s="211"/>
      <c r="E501" s="21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</row>
    <row r="502" ht="15.75" customHeight="1">
      <c r="A502" s="211"/>
      <c r="B502" s="211"/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</row>
    <row r="503" ht="15.75" customHeight="1">
      <c r="A503" s="211"/>
      <c r="B503" s="211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</row>
    <row r="504" ht="15.75" customHeight="1">
      <c r="A504" s="211"/>
      <c r="B504" s="211"/>
      <c r="C504" s="211"/>
      <c r="D504" s="211"/>
      <c r="E504" s="21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</row>
    <row r="505" ht="15.75" customHeight="1">
      <c r="A505" s="211"/>
      <c r="B505" s="211"/>
      <c r="C505" s="211"/>
      <c r="D505" s="211"/>
      <c r="E505" s="21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</row>
    <row r="506" ht="15.75" customHeight="1">
      <c r="A506" s="211"/>
      <c r="B506" s="211"/>
      <c r="C506" s="211"/>
      <c r="D506" s="211"/>
      <c r="E506" s="21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</row>
    <row r="507" ht="15.75" customHeight="1">
      <c r="A507" s="211"/>
      <c r="B507" s="211"/>
      <c r="C507" s="211"/>
      <c r="D507" s="211"/>
      <c r="E507" s="21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</row>
    <row r="508" ht="15.75" customHeight="1">
      <c r="A508" s="211"/>
      <c r="B508" s="211"/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</row>
    <row r="509" ht="15.75" customHeight="1">
      <c r="A509" s="211"/>
      <c r="B509" s="211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</row>
    <row r="510" ht="15.75" customHeight="1">
      <c r="A510" s="211"/>
      <c r="B510" s="211"/>
      <c r="C510" s="211"/>
      <c r="D510" s="211"/>
      <c r="E510" s="21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</row>
    <row r="511" ht="15.75" customHeight="1">
      <c r="A511" s="211"/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</row>
    <row r="512" ht="15.75" customHeight="1">
      <c r="A512" s="211"/>
      <c r="B512" s="211"/>
      <c r="C512" s="211"/>
      <c r="D512" s="211"/>
      <c r="E512" s="21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</row>
    <row r="513" ht="15.75" customHeight="1">
      <c r="A513" s="211"/>
      <c r="B513" s="211"/>
      <c r="C513" s="211"/>
      <c r="D513" s="211"/>
      <c r="E513" s="21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</row>
    <row r="514" ht="15.75" customHeight="1">
      <c r="A514" s="211"/>
      <c r="B514" s="211"/>
      <c r="C514" s="211"/>
      <c r="D514" s="211"/>
      <c r="E514" s="21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</row>
    <row r="515" ht="15.75" customHeight="1">
      <c r="A515" s="211"/>
      <c r="B515" s="211"/>
      <c r="C515" s="211"/>
      <c r="D515" s="211"/>
      <c r="E515" s="21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</row>
    <row r="516" ht="15.75" customHeight="1">
      <c r="A516" s="211"/>
      <c r="B516" s="211"/>
      <c r="C516" s="211"/>
      <c r="D516" s="211"/>
      <c r="E516" s="21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</row>
    <row r="517" ht="15.75" customHeight="1">
      <c r="A517" s="211"/>
      <c r="B517" s="211"/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</row>
    <row r="518" ht="15.75" customHeight="1">
      <c r="A518" s="211"/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</row>
    <row r="519" ht="15.75" customHeight="1">
      <c r="A519" s="211"/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</row>
    <row r="520" ht="15.75" customHeight="1">
      <c r="A520" s="211"/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</row>
    <row r="521" ht="15.75" customHeight="1">
      <c r="A521" s="211"/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</row>
    <row r="522" ht="15.75" customHeight="1">
      <c r="A522" s="211"/>
      <c r="B522" s="211"/>
      <c r="C522" s="211"/>
      <c r="D522" s="211"/>
      <c r="E522" s="21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</row>
    <row r="523" ht="15.75" customHeight="1">
      <c r="A523" s="211"/>
      <c r="B523" s="211"/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</row>
    <row r="524" ht="15.75" customHeight="1">
      <c r="A524" s="211"/>
      <c r="B524" s="211"/>
      <c r="C524" s="211"/>
      <c r="D524" s="211"/>
      <c r="E524" s="21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</row>
    <row r="525" ht="15.75" customHeight="1">
      <c r="A525" s="211"/>
      <c r="B525" s="211"/>
      <c r="C525" s="211"/>
      <c r="D525" s="211"/>
      <c r="E525" s="21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</row>
    <row r="526" ht="15.75" customHeight="1">
      <c r="A526" s="211"/>
      <c r="B526" s="211"/>
      <c r="C526" s="211"/>
      <c r="D526" s="211"/>
      <c r="E526" s="21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</row>
    <row r="527" ht="15.75" customHeight="1">
      <c r="A527" s="211"/>
      <c r="B527" s="211"/>
      <c r="C527" s="211"/>
      <c r="D527" s="211"/>
      <c r="E527" s="21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</row>
    <row r="528" ht="15.75" customHeight="1">
      <c r="A528" s="211"/>
      <c r="B528" s="211"/>
      <c r="C528" s="211"/>
      <c r="D528" s="211"/>
      <c r="E528" s="21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</row>
    <row r="529" ht="15.75" customHeight="1">
      <c r="A529" s="211"/>
      <c r="B529" s="211"/>
      <c r="C529" s="211"/>
      <c r="D529" s="211"/>
      <c r="E529" s="21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</row>
    <row r="530" ht="15.75" customHeight="1">
      <c r="A530" s="211"/>
      <c r="B530" s="211"/>
      <c r="C530" s="211"/>
      <c r="D530" s="211"/>
      <c r="E530" s="21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</row>
    <row r="531" ht="15.75" customHeight="1">
      <c r="A531" s="211"/>
      <c r="B531" s="211"/>
      <c r="C531" s="211"/>
      <c r="D531" s="211"/>
      <c r="E531" s="21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</row>
    <row r="532" ht="15.75" customHeight="1">
      <c r="A532" s="211"/>
      <c r="B532" s="211"/>
      <c r="C532" s="211"/>
      <c r="D532" s="211"/>
      <c r="E532" s="21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</row>
    <row r="533" ht="15.75" customHeight="1">
      <c r="A533" s="211"/>
      <c r="B533" s="211"/>
      <c r="C533" s="211"/>
      <c r="D533" s="211"/>
      <c r="E533" s="21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</row>
    <row r="534" ht="15.75" customHeight="1">
      <c r="A534" s="211"/>
      <c r="B534" s="211"/>
      <c r="C534" s="211"/>
      <c r="D534" s="211"/>
      <c r="E534" s="21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</row>
    <row r="535" ht="15.75" customHeight="1">
      <c r="A535" s="211"/>
      <c r="B535" s="211"/>
      <c r="C535" s="211"/>
      <c r="D535" s="211"/>
      <c r="E535" s="21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</row>
    <row r="536" ht="15.75" customHeight="1">
      <c r="A536" s="211"/>
      <c r="B536" s="211"/>
      <c r="C536" s="211"/>
      <c r="D536" s="211"/>
      <c r="E536" s="21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</row>
    <row r="537" ht="15.75" customHeight="1">
      <c r="A537" s="211"/>
      <c r="B537" s="211"/>
      <c r="C537" s="211"/>
      <c r="D537" s="211"/>
      <c r="E537" s="21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</row>
    <row r="538" ht="15.75" customHeight="1">
      <c r="A538" s="211"/>
      <c r="B538" s="211"/>
      <c r="C538" s="211"/>
      <c r="D538" s="211"/>
      <c r="E538" s="21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</row>
    <row r="539" ht="15.75" customHeight="1">
      <c r="A539" s="211"/>
      <c r="B539" s="211"/>
      <c r="C539" s="211"/>
      <c r="D539" s="211"/>
      <c r="E539" s="21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</row>
    <row r="540" ht="15.75" customHeight="1">
      <c r="A540" s="211"/>
      <c r="B540" s="211"/>
      <c r="C540" s="211"/>
      <c r="D540" s="211"/>
      <c r="E540" s="21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</row>
    <row r="541" ht="15.75" customHeight="1">
      <c r="A541" s="211"/>
      <c r="B541" s="211"/>
      <c r="C541" s="211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</row>
    <row r="542" ht="15.75" customHeight="1">
      <c r="A542" s="211"/>
      <c r="B542" s="211"/>
      <c r="C542" s="211"/>
      <c r="D542" s="211"/>
      <c r="E542" s="21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</row>
    <row r="543" ht="15.75" customHeight="1">
      <c r="A543" s="211"/>
      <c r="B543" s="211"/>
      <c r="C543" s="211"/>
      <c r="D543" s="211"/>
      <c r="E543" s="21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</row>
    <row r="544" ht="15.75" customHeight="1">
      <c r="A544" s="211"/>
      <c r="B544" s="211"/>
      <c r="C544" s="211"/>
      <c r="D544" s="211"/>
      <c r="E544" s="21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</row>
    <row r="545" ht="15.75" customHeight="1">
      <c r="A545" s="211"/>
      <c r="B545" s="211"/>
      <c r="C545" s="211"/>
      <c r="D545" s="211"/>
      <c r="E545" s="21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</row>
    <row r="546" ht="15.75" customHeight="1">
      <c r="A546" s="211"/>
      <c r="B546" s="211"/>
      <c r="C546" s="211"/>
      <c r="D546" s="211"/>
      <c r="E546" s="21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</row>
    <row r="547" ht="15.75" customHeight="1">
      <c r="A547" s="211"/>
      <c r="B547" s="211"/>
      <c r="C547" s="211"/>
      <c r="D547" s="211"/>
      <c r="E547" s="21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</row>
    <row r="548" ht="15.75" customHeight="1">
      <c r="A548" s="211"/>
      <c r="B548" s="211"/>
      <c r="C548" s="211"/>
      <c r="D548" s="211"/>
      <c r="E548" s="21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</row>
    <row r="549" ht="15.75" customHeight="1">
      <c r="A549" s="211"/>
      <c r="B549" s="211"/>
      <c r="C549" s="211"/>
      <c r="D549" s="211"/>
      <c r="E549" s="21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</row>
    <row r="550" ht="15.75" customHeight="1">
      <c r="A550" s="211"/>
      <c r="B550" s="211"/>
      <c r="C550" s="211"/>
      <c r="D550" s="211"/>
      <c r="E550" s="21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</row>
    <row r="551" ht="15.75" customHeight="1">
      <c r="A551" s="211"/>
      <c r="B551" s="211"/>
      <c r="C551" s="211"/>
      <c r="D551" s="211"/>
      <c r="E551" s="21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</row>
    <row r="552" ht="15.75" customHeight="1">
      <c r="A552" s="211"/>
      <c r="B552" s="211"/>
      <c r="C552" s="211"/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</row>
    <row r="553" ht="15.75" customHeight="1">
      <c r="A553" s="211"/>
      <c r="B553" s="211"/>
      <c r="C553" s="211"/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</row>
    <row r="554" ht="15.75" customHeight="1">
      <c r="A554" s="211"/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</row>
    <row r="555" ht="15.75" customHeight="1">
      <c r="A555" s="211"/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</row>
    <row r="556" ht="15.75" customHeight="1">
      <c r="A556" s="211"/>
      <c r="B556" s="211"/>
      <c r="C556" s="211"/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</row>
    <row r="557" ht="15.75" customHeight="1">
      <c r="A557" s="211"/>
      <c r="B557" s="211"/>
      <c r="C557" s="211"/>
      <c r="D557" s="211"/>
      <c r="E557" s="21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</row>
    <row r="558" ht="15.75" customHeight="1">
      <c r="A558" s="211"/>
      <c r="B558" s="211"/>
      <c r="C558" s="211"/>
      <c r="D558" s="211"/>
      <c r="E558" s="21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</row>
    <row r="559" ht="15.75" customHeight="1">
      <c r="A559" s="211"/>
      <c r="B559" s="211"/>
      <c r="C559" s="211"/>
      <c r="D559" s="211"/>
      <c r="E559" s="21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</row>
    <row r="560" ht="15.75" customHeight="1">
      <c r="A560" s="211"/>
      <c r="B560" s="211"/>
      <c r="C560" s="211"/>
      <c r="D560" s="211"/>
      <c r="E560" s="21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</row>
    <row r="561" ht="15.75" customHeight="1">
      <c r="A561" s="211"/>
      <c r="B561" s="211"/>
      <c r="C561" s="211"/>
      <c r="D561" s="211"/>
      <c r="E561" s="21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</row>
    <row r="562" ht="15.75" customHeight="1">
      <c r="A562" s="211"/>
      <c r="B562" s="211"/>
      <c r="C562" s="211"/>
      <c r="D562" s="211"/>
      <c r="E562" s="21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</row>
    <row r="563" ht="15.75" customHeight="1">
      <c r="A563" s="211"/>
      <c r="B563" s="211"/>
      <c r="C563" s="211"/>
      <c r="D563" s="211"/>
      <c r="E563" s="21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</row>
    <row r="564" ht="15.75" customHeight="1">
      <c r="A564" s="211"/>
      <c r="B564" s="211"/>
      <c r="C564" s="211"/>
      <c r="D564" s="211"/>
      <c r="E564" s="21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</row>
    <row r="565" ht="15.75" customHeight="1">
      <c r="A565" s="211"/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</row>
    <row r="566" ht="15.75" customHeight="1">
      <c r="A566" s="211"/>
      <c r="B566" s="211"/>
      <c r="C566" s="211"/>
      <c r="D566" s="211"/>
      <c r="E566" s="21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</row>
    <row r="567" ht="15.75" customHeight="1">
      <c r="A567" s="211"/>
      <c r="B567" s="211"/>
      <c r="C567" s="211"/>
      <c r="D567" s="211"/>
      <c r="E567" s="21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</row>
    <row r="568" ht="15.75" customHeight="1">
      <c r="A568" s="211"/>
      <c r="B568" s="211"/>
      <c r="C568" s="211"/>
      <c r="D568" s="211"/>
      <c r="E568" s="21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</row>
    <row r="569" ht="15.75" customHeight="1">
      <c r="A569" s="211"/>
      <c r="B569" s="211"/>
      <c r="C569" s="211"/>
      <c r="D569" s="211"/>
      <c r="E569" s="21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</row>
    <row r="570" ht="15.75" customHeight="1">
      <c r="A570" s="211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</row>
    <row r="571" ht="15.75" customHeight="1">
      <c r="A571" s="211"/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</row>
    <row r="572" ht="15.75" customHeight="1">
      <c r="A572" s="211"/>
      <c r="B572" s="211"/>
      <c r="C572" s="211"/>
      <c r="D572" s="211"/>
      <c r="E572" s="21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</row>
    <row r="573" ht="15.75" customHeight="1">
      <c r="A573" s="211"/>
      <c r="B573" s="211"/>
      <c r="C573" s="211"/>
      <c r="D573" s="211"/>
      <c r="E573" s="21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</row>
    <row r="574" ht="15.75" customHeight="1">
      <c r="A574" s="211"/>
      <c r="B574" s="211"/>
      <c r="C574" s="211"/>
      <c r="D574" s="211"/>
      <c r="E574" s="21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</row>
    <row r="575" ht="15.75" customHeight="1">
      <c r="A575" s="211"/>
      <c r="B575" s="211"/>
      <c r="C575" s="211"/>
      <c r="D575" s="211"/>
      <c r="E575" s="21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</row>
    <row r="576" ht="15.75" customHeight="1">
      <c r="A576" s="211"/>
      <c r="B576" s="211"/>
      <c r="C576" s="211"/>
      <c r="D576" s="211"/>
      <c r="E576" s="21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</row>
    <row r="577" ht="15.75" customHeight="1">
      <c r="A577" s="211"/>
      <c r="B577" s="211"/>
      <c r="C577" s="211"/>
      <c r="D577" s="211"/>
      <c r="E577" s="21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</row>
    <row r="578" ht="15.75" customHeight="1">
      <c r="A578" s="211"/>
      <c r="B578" s="211"/>
      <c r="C578" s="211"/>
      <c r="D578" s="211"/>
      <c r="E578" s="21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</row>
    <row r="579" ht="15.75" customHeight="1">
      <c r="A579" s="211"/>
      <c r="B579" s="211"/>
      <c r="C579" s="211"/>
      <c r="D579" s="211"/>
      <c r="E579" s="21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</row>
    <row r="580" ht="15.75" customHeight="1">
      <c r="A580" s="211"/>
      <c r="B580" s="211"/>
      <c r="C580" s="211"/>
      <c r="D580" s="211"/>
      <c r="E580" s="21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</row>
    <row r="581" ht="15.75" customHeight="1">
      <c r="A581" s="211"/>
      <c r="B581" s="211"/>
      <c r="C581" s="211"/>
      <c r="D581" s="211"/>
      <c r="E581" s="21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</row>
    <row r="582" ht="15.75" customHeight="1">
      <c r="A582" s="211"/>
      <c r="B582" s="211"/>
      <c r="C582" s="211"/>
      <c r="D582" s="211"/>
      <c r="E582" s="21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</row>
    <row r="583" ht="15.75" customHeight="1">
      <c r="A583" s="211"/>
      <c r="B583" s="211"/>
      <c r="C583" s="211"/>
      <c r="D583" s="211"/>
      <c r="E583" s="21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</row>
    <row r="584" ht="15.75" customHeight="1">
      <c r="A584" s="211"/>
      <c r="B584" s="211"/>
      <c r="C584" s="211"/>
      <c r="D584" s="211"/>
      <c r="E584" s="21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</row>
    <row r="585" ht="15.75" customHeight="1">
      <c r="A585" s="211"/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</row>
    <row r="586" ht="15.75" customHeight="1">
      <c r="A586" s="211"/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</row>
    <row r="587" ht="15.75" customHeight="1">
      <c r="A587" s="211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</row>
    <row r="588" ht="15.75" customHeight="1">
      <c r="A588" s="211"/>
      <c r="B588" s="211"/>
      <c r="C588" s="211"/>
      <c r="D588" s="211"/>
      <c r="E588" s="21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</row>
    <row r="589" ht="15.75" customHeight="1">
      <c r="A589" s="211"/>
      <c r="B589" s="211"/>
      <c r="C589" s="211"/>
      <c r="D589" s="211"/>
      <c r="E589" s="21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</row>
    <row r="590" ht="15.75" customHeight="1">
      <c r="A590" s="211"/>
      <c r="B590" s="211"/>
      <c r="C590" s="211"/>
      <c r="D590" s="211"/>
      <c r="E590" s="21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</row>
    <row r="591" ht="15.75" customHeight="1">
      <c r="A591" s="211"/>
      <c r="B591" s="211"/>
      <c r="C591" s="211"/>
      <c r="D591" s="211"/>
      <c r="E591" s="21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</row>
    <row r="592" ht="15.75" customHeight="1">
      <c r="A592" s="211"/>
      <c r="B592" s="211"/>
      <c r="C592" s="211"/>
      <c r="D592" s="211"/>
      <c r="E592" s="21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</row>
    <row r="593" ht="15.75" customHeight="1">
      <c r="A593" s="211"/>
      <c r="B593" s="211"/>
      <c r="C593" s="211"/>
      <c r="D593" s="211"/>
      <c r="E593" s="21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</row>
    <row r="594" ht="15.75" customHeight="1">
      <c r="A594" s="211"/>
      <c r="B594" s="211"/>
      <c r="C594" s="211"/>
      <c r="D594" s="211"/>
      <c r="E594" s="21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</row>
    <row r="595" ht="15.75" customHeight="1">
      <c r="A595" s="211"/>
      <c r="B595" s="211"/>
      <c r="C595" s="211"/>
      <c r="D595" s="211"/>
      <c r="E595" s="21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</row>
    <row r="596" ht="15.75" customHeight="1">
      <c r="A596" s="211"/>
      <c r="B596" s="211"/>
      <c r="C596" s="211"/>
      <c r="D596" s="211"/>
      <c r="E596" s="21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</row>
    <row r="597" ht="15.75" customHeight="1">
      <c r="A597" s="211"/>
      <c r="B597" s="211"/>
      <c r="C597" s="211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</row>
    <row r="598" ht="15.75" customHeight="1">
      <c r="A598" s="211"/>
      <c r="B598" s="211"/>
      <c r="C598" s="211"/>
      <c r="D598" s="211"/>
      <c r="E598" s="21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</row>
    <row r="599" ht="15.75" customHeight="1">
      <c r="A599" s="211"/>
      <c r="B599" s="211"/>
      <c r="C599" s="211"/>
      <c r="D599" s="211"/>
      <c r="E599" s="21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</row>
    <row r="600" ht="15.75" customHeight="1">
      <c r="A600" s="211"/>
      <c r="B600" s="211"/>
      <c r="C600" s="211"/>
      <c r="D600" s="211"/>
      <c r="E600" s="21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</row>
    <row r="601" ht="15.75" customHeight="1">
      <c r="A601" s="211"/>
      <c r="B601" s="211"/>
      <c r="C601" s="211"/>
      <c r="D601" s="211"/>
      <c r="E601" s="21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</row>
    <row r="602" ht="15.75" customHeight="1">
      <c r="A602" s="211"/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</row>
    <row r="603" ht="15.75" customHeight="1">
      <c r="A603" s="211"/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</row>
    <row r="604" ht="15.75" customHeight="1">
      <c r="A604" s="211"/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</row>
    <row r="605" ht="15.75" customHeight="1">
      <c r="A605" s="211"/>
      <c r="B605" s="211"/>
      <c r="C605" s="211"/>
      <c r="D605" s="211"/>
      <c r="E605" s="21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</row>
    <row r="606" ht="15.75" customHeight="1">
      <c r="A606" s="211"/>
      <c r="B606" s="211"/>
      <c r="C606" s="211"/>
      <c r="D606" s="211"/>
      <c r="E606" s="21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</row>
    <row r="607" ht="15.75" customHeight="1">
      <c r="A607" s="211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</row>
    <row r="608" ht="15.75" customHeight="1">
      <c r="A608" s="211"/>
      <c r="B608" s="211"/>
      <c r="C608" s="211"/>
      <c r="D608" s="211"/>
      <c r="E608" s="21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</row>
    <row r="609" ht="15.75" customHeight="1">
      <c r="A609" s="211"/>
      <c r="B609" s="211"/>
      <c r="C609" s="211"/>
      <c r="D609" s="211"/>
      <c r="E609" s="21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</row>
    <row r="610" ht="15.75" customHeight="1">
      <c r="A610" s="211"/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</row>
    <row r="611" ht="15.75" customHeight="1">
      <c r="A611" s="211"/>
      <c r="B611" s="211"/>
      <c r="C611" s="211"/>
      <c r="D611" s="211"/>
      <c r="E611" s="21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</row>
    <row r="612" ht="15.75" customHeight="1">
      <c r="A612" s="211"/>
      <c r="B612" s="211"/>
      <c r="C612" s="211"/>
      <c r="D612" s="211"/>
      <c r="E612" s="21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</row>
    <row r="613" ht="15.75" customHeight="1">
      <c r="A613" s="211"/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</row>
    <row r="614" ht="15.75" customHeight="1">
      <c r="A614" s="211"/>
      <c r="B614" s="211"/>
      <c r="C614" s="211"/>
      <c r="D614" s="211"/>
      <c r="E614" s="21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</row>
    <row r="615" ht="15.75" customHeight="1">
      <c r="A615" s="211"/>
      <c r="B615" s="211"/>
      <c r="C615" s="211"/>
      <c r="D615" s="211"/>
      <c r="E615" s="21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</row>
    <row r="616" ht="15.75" customHeight="1">
      <c r="A616" s="211"/>
      <c r="B616" s="211"/>
      <c r="C616" s="211"/>
      <c r="D616" s="211"/>
      <c r="E616" s="21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</row>
    <row r="617" ht="15.75" customHeight="1">
      <c r="A617" s="211"/>
      <c r="B617" s="211"/>
      <c r="C617" s="211"/>
      <c r="D617" s="211"/>
      <c r="E617" s="21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</row>
    <row r="618" ht="15.75" customHeight="1">
      <c r="A618" s="211"/>
      <c r="B618" s="211"/>
      <c r="C618" s="211"/>
      <c r="D618" s="211"/>
      <c r="E618" s="21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</row>
    <row r="619" ht="15.75" customHeight="1">
      <c r="A619" s="211"/>
      <c r="B619" s="211"/>
      <c r="C619" s="211"/>
      <c r="D619" s="211"/>
      <c r="E619" s="21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</row>
    <row r="620" ht="15.75" customHeight="1">
      <c r="A620" s="211"/>
      <c r="B620" s="211"/>
      <c r="C620" s="211"/>
      <c r="D620" s="211"/>
      <c r="E620" s="21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</row>
    <row r="621" ht="15.75" customHeight="1">
      <c r="A621" s="211"/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</row>
    <row r="622" ht="15.75" customHeight="1">
      <c r="A622" s="211"/>
      <c r="B622" s="211"/>
      <c r="C622" s="211"/>
      <c r="D622" s="211"/>
      <c r="E622" s="21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</row>
    <row r="623" ht="15.75" customHeight="1">
      <c r="A623" s="211"/>
      <c r="B623" s="211"/>
      <c r="C623" s="211"/>
      <c r="D623" s="211"/>
      <c r="E623" s="21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</row>
    <row r="624" ht="15.75" customHeight="1">
      <c r="A624" s="211"/>
      <c r="B624" s="211"/>
      <c r="C624" s="211"/>
      <c r="D624" s="211"/>
      <c r="E624" s="21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</row>
    <row r="625" ht="15.75" customHeight="1">
      <c r="A625" s="211"/>
      <c r="B625" s="211"/>
      <c r="C625" s="211"/>
      <c r="D625" s="211"/>
      <c r="E625" s="21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</row>
    <row r="626" ht="15.75" customHeight="1">
      <c r="A626" s="211"/>
      <c r="B626" s="211"/>
      <c r="C626" s="211"/>
      <c r="D626" s="211"/>
      <c r="E626" s="21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</row>
    <row r="627" ht="15.75" customHeight="1">
      <c r="A627" s="211"/>
      <c r="B627" s="211"/>
      <c r="C627" s="211"/>
      <c r="D627" s="211"/>
      <c r="E627" s="21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</row>
    <row r="628" ht="15.75" customHeight="1">
      <c r="A628" s="211"/>
      <c r="B628" s="211"/>
      <c r="C628" s="211"/>
      <c r="D628" s="211"/>
      <c r="E628" s="21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</row>
    <row r="629" ht="15.75" customHeight="1">
      <c r="A629" s="211"/>
      <c r="B629" s="211"/>
      <c r="C629" s="211"/>
      <c r="D629" s="211"/>
      <c r="E629" s="21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</row>
    <row r="630" ht="15.75" customHeight="1">
      <c r="A630" s="211"/>
      <c r="B630" s="211"/>
      <c r="C630" s="211"/>
      <c r="D630" s="211"/>
      <c r="E630" s="21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</row>
    <row r="631" ht="15.75" customHeight="1">
      <c r="A631" s="211"/>
      <c r="B631" s="211"/>
      <c r="C631" s="211"/>
      <c r="D631" s="211"/>
      <c r="E631" s="21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</row>
    <row r="632" ht="15.75" customHeight="1">
      <c r="A632" s="211"/>
      <c r="B632" s="211"/>
      <c r="C632" s="211"/>
      <c r="D632" s="211"/>
      <c r="E632" s="21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</row>
    <row r="633" ht="15.75" customHeight="1">
      <c r="A633" s="211"/>
      <c r="B633" s="211"/>
      <c r="C633" s="211"/>
      <c r="D633" s="211"/>
      <c r="E633" s="21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</row>
    <row r="634" ht="15.75" customHeight="1">
      <c r="A634" s="211"/>
      <c r="B634" s="211"/>
      <c r="C634" s="211"/>
      <c r="D634" s="211"/>
      <c r="E634" s="21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</row>
    <row r="635" ht="15.75" customHeight="1">
      <c r="A635" s="211"/>
      <c r="B635" s="211"/>
      <c r="C635" s="211"/>
      <c r="D635" s="211"/>
      <c r="E635" s="21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</row>
    <row r="636" ht="15.75" customHeight="1">
      <c r="A636" s="211"/>
      <c r="B636" s="211"/>
      <c r="C636" s="211"/>
      <c r="D636" s="211"/>
      <c r="E636" s="21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</row>
    <row r="637" ht="15.75" customHeight="1">
      <c r="A637" s="211"/>
      <c r="B637" s="211"/>
      <c r="C637" s="211"/>
      <c r="D637" s="211"/>
      <c r="E637" s="21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</row>
    <row r="638" ht="15.75" customHeight="1">
      <c r="A638" s="211"/>
      <c r="B638" s="211"/>
      <c r="C638" s="211"/>
      <c r="D638" s="211"/>
      <c r="E638" s="21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</row>
    <row r="639" ht="15.75" customHeight="1">
      <c r="A639" s="211"/>
      <c r="B639" s="211"/>
      <c r="C639" s="211"/>
      <c r="D639" s="211"/>
      <c r="E639" s="21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</row>
    <row r="640" ht="15.75" customHeight="1">
      <c r="A640" s="211"/>
      <c r="B640" s="211"/>
      <c r="C640" s="211"/>
      <c r="D640" s="211"/>
      <c r="E640" s="21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</row>
    <row r="641" ht="15.75" customHeight="1">
      <c r="A641" s="211"/>
      <c r="B641" s="211"/>
      <c r="C641" s="211"/>
      <c r="D641" s="211"/>
      <c r="E641" s="21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</row>
    <row r="642" ht="15.75" customHeight="1">
      <c r="A642" s="211"/>
      <c r="B642" s="211"/>
      <c r="C642" s="211"/>
      <c r="D642" s="211"/>
      <c r="E642" s="21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</row>
    <row r="643" ht="15.75" customHeight="1">
      <c r="A643" s="211"/>
      <c r="B643" s="211"/>
      <c r="C643" s="211"/>
      <c r="D643" s="211"/>
      <c r="E643" s="21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</row>
    <row r="644" ht="15.75" customHeight="1">
      <c r="A644" s="211"/>
      <c r="B644" s="211"/>
      <c r="C644" s="211"/>
      <c r="D644" s="211"/>
      <c r="E644" s="21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</row>
    <row r="645" ht="15.75" customHeight="1">
      <c r="A645" s="211"/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</row>
    <row r="646" ht="15.75" customHeight="1">
      <c r="A646" s="211"/>
      <c r="B646" s="211"/>
      <c r="C646" s="211"/>
      <c r="D646" s="211"/>
      <c r="E646" s="21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</row>
    <row r="647" ht="15.75" customHeight="1">
      <c r="A647" s="211"/>
      <c r="B647" s="211"/>
      <c r="C647" s="211"/>
      <c r="D647" s="211"/>
      <c r="E647" s="21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</row>
    <row r="648" ht="15.75" customHeight="1">
      <c r="A648" s="211"/>
      <c r="B648" s="211"/>
      <c r="C648" s="211"/>
      <c r="D648" s="211"/>
      <c r="E648" s="21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</row>
    <row r="649" ht="15.75" customHeight="1">
      <c r="A649" s="211"/>
      <c r="B649" s="211"/>
      <c r="C649" s="211"/>
      <c r="D649" s="211"/>
      <c r="E649" s="21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</row>
    <row r="650" ht="15.75" customHeight="1">
      <c r="A650" s="211"/>
      <c r="B650" s="211"/>
      <c r="C650" s="211"/>
      <c r="D650" s="211"/>
      <c r="E650" s="21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</row>
    <row r="651" ht="15.75" customHeight="1">
      <c r="A651" s="211"/>
      <c r="B651" s="211"/>
      <c r="C651" s="211"/>
      <c r="D651" s="211"/>
      <c r="E651" s="21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</row>
    <row r="652" ht="15.75" customHeight="1">
      <c r="A652" s="211"/>
      <c r="B652" s="211"/>
      <c r="C652" s="211"/>
      <c r="D652" s="211"/>
      <c r="E652" s="21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</row>
    <row r="653" ht="15.75" customHeight="1">
      <c r="A653" s="211"/>
      <c r="B653" s="211"/>
      <c r="C653" s="211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</row>
    <row r="654" ht="15.75" customHeight="1">
      <c r="A654" s="211"/>
      <c r="B654" s="211"/>
      <c r="C654" s="211"/>
      <c r="D654" s="211"/>
      <c r="E654" s="21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</row>
    <row r="655" ht="15.75" customHeight="1">
      <c r="A655" s="211"/>
      <c r="B655" s="211"/>
      <c r="C655" s="211"/>
      <c r="D655" s="211"/>
      <c r="E655" s="21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</row>
    <row r="656" ht="15.75" customHeight="1">
      <c r="A656" s="211"/>
      <c r="B656" s="211"/>
      <c r="C656" s="211"/>
      <c r="D656" s="211"/>
      <c r="E656" s="21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</row>
    <row r="657" ht="15.75" customHeight="1">
      <c r="A657" s="211"/>
      <c r="B657" s="211"/>
      <c r="C657" s="211"/>
      <c r="D657" s="211"/>
      <c r="E657" s="21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</row>
    <row r="658" ht="15.75" customHeight="1">
      <c r="A658" s="211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</row>
    <row r="659" ht="15.75" customHeight="1">
      <c r="A659" s="211"/>
      <c r="B659" s="211"/>
      <c r="C659" s="211"/>
      <c r="D659" s="211"/>
      <c r="E659" s="21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</row>
    <row r="660" ht="15.75" customHeight="1">
      <c r="A660" s="211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</row>
    <row r="661" ht="15.75" customHeight="1">
      <c r="A661" s="211"/>
      <c r="B661" s="211"/>
      <c r="C661" s="211"/>
      <c r="D661" s="211"/>
      <c r="E661" s="21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</row>
    <row r="662" ht="15.75" customHeight="1">
      <c r="A662" s="211"/>
      <c r="B662" s="211"/>
      <c r="C662" s="211"/>
      <c r="D662" s="211"/>
      <c r="E662" s="21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</row>
    <row r="663" ht="15.75" customHeight="1">
      <c r="A663" s="211"/>
      <c r="B663" s="211"/>
      <c r="C663" s="211"/>
      <c r="D663" s="211"/>
      <c r="E663" s="21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</row>
    <row r="664" ht="15.75" customHeight="1">
      <c r="A664" s="211"/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</row>
    <row r="665" ht="15.75" customHeight="1">
      <c r="A665" s="211"/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</row>
    <row r="666" ht="15.75" customHeight="1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</row>
    <row r="667" ht="15.75" customHeight="1">
      <c r="A667" s="211"/>
      <c r="B667" s="211"/>
      <c r="C667" s="211"/>
      <c r="D667" s="211"/>
      <c r="E667" s="21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</row>
    <row r="668" ht="15.75" customHeight="1">
      <c r="A668" s="211"/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</row>
    <row r="669" ht="15.75" customHeight="1">
      <c r="A669" s="211"/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</row>
    <row r="670" ht="15.75" customHeight="1">
      <c r="A670" s="211"/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</row>
    <row r="671" ht="15.75" customHeight="1">
      <c r="A671" s="211"/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</row>
    <row r="672" ht="15.75" customHeight="1">
      <c r="A672" s="211"/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</row>
    <row r="673" ht="15.75" customHeight="1">
      <c r="A673" s="211"/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</row>
    <row r="674" ht="15.75" customHeight="1">
      <c r="A674" s="211"/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</row>
    <row r="675" ht="15.75" customHeight="1">
      <c r="A675" s="211"/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</row>
    <row r="676" ht="15.75" customHeight="1">
      <c r="A676" s="211"/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</row>
    <row r="677" ht="15.75" customHeight="1">
      <c r="A677" s="211"/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</row>
    <row r="678" ht="15.75" customHeight="1">
      <c r="A678" s="211"/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</row>
    <row r="679" ht="15.75" customHeight="1">
      <c r="A679" s="211"/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</row>
    <row r="680" ht="15.75" customHeight="1">
      <c r="A680" s="211"/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</row>
    <row r="681" ht="15.75" customHeight="1">
      <c r="A681" s="211"/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</row>
    <row r="682" ht="15.75" customHeight="1">
      <c r="A682" s="211"/>
      <c r="B682" s="211"/>
      <c r="C682" s="211"/>
      <c r="D682" s="211"/>
      <c r="E682" s="21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</row>
    <row r="683" ht="15.75" customHeight="1">
      <c r="A683" s="211"/>
      <c r="B683" s="211"/>
      <c r="C683" s="211"/>
      <c r="D683" s="211"/>
      <c r="E683" s="21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</row>
    <row r="684" ht="15.75" customHeight="1">
      <c r="A684" s="211"/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</row>
    <row r="685" ht="15.75" customHeight="1">
      <c r="A685" s="211"/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</row>
    <row r="686" ht="15.75" customHeight="1">
      <c r="A686" s="211"/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</row>
    <row r="687" ht="15.75" customHeight="1">
      <c r="A687" s="211"/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</row>
    <row r="688" ht="15.75" customHeight="1">
      <c r="A688" s="211"/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</row>
    <row r="689" ht="15.75" customHeight="1">
      <c r="A689" s="211"/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</row>
    <row r="690" ht="15.75" customHeight="1">
      <c r="A690" s="211"/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</row>
    <row r="691" ht="15.75" customHeight="1">
      <c r="A691" s="211"/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</row>
    <row r="692" ht="15.75" customHeight="1">
      <c r="A692" s="211"/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</row>
    <row r="693" ht="15.75" customHeight="1">
      <c r="A693" s="211"/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</row>
    <row r="694" ht="15.75" customHeight="1">
      <c r="A694" s="211"/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</row>
    <row r="695" ht="15.75" customHeight="1">
      <c r="A695" s="211"/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</row>
    <row r="696" ht="15.75" customHeight="1">
      <c r="A696" s="211"/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</row>
    <row r="697" ht="15.75" customHeight="1">
      <c r="A697" s="211"/>
      <c r="B697" s="211"/>
      <c r="C697" s="211"/>
      <c r="D697" s="211"/>
      <c r="E697" s="21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</row>
    <row r="698" ht="15.75" customHeight="1">
      <c r="A698" s="211"/>
      <c r="B698" s="211"/>
      <c r="C698" s="211"/>
      <c r="D698" s="211"/>
      <c r="E698" s="21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</row>
    <row r="699" ht="15.75" customHeight="1">
      <c r="A699" s="211"/>
      <c r="B699" s="211"/>
      <c r="C699" s="211"/>
      <c r="D699" s="211"/>
      <c r="E699" s="21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</row>
    <row r="700" ht="15.75" customHeight="1">
      <c r="A700" s="211"/>
      <c r="B700" s="211"/>
      <c r="C700" s="211"/>
      <c r="D700" s="211"/>
      <c r="E700" s="21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</row>
    <row r="701" ht="15.75" customHeight="1">
      <c r="A701" s="211"/>
      <c r="B701" s="211"/>
      <c r="C701" s="211"/>
      <c r="D701" s="211"/>
      <c r="E701" s="21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</row>
    <row r="702" ht="15.75" customHeight="1">
      <c r="A702" s="211"/>
      <c r="B702" s="211"/>
      <c r="C702" s="211"/>
      <c r="D702" s="211"/>
      <c r="E702" s="21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</row>
    <row r="703" ht="15.75" customHeight="1">
      <c r="A703" s="211"/>
      <c r="B703" s="211"/>
      <c r="C703" s="211"/>
      <c r="D703" s="211"/>
      <c r="E703" s="21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</row>
    <row r="704" ht="15.75" customHeight="1">
      <c r="A704" s="211"/>
      <c r="B704" s="211"/>
      <c r="C704" s="211"/>
      <c r="D704" s="211"/>
      <c r="E704" s="21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</row>
    <row r="705" ht="15.75" customHeight="1">
      <c r="A705" s="211"/>
      <c r="B705" s="211"/>
      <c r="C705" s="211"/>
      <c r="D705" s="211"/>
      <c r="E705" s="21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</row>
    <row r="706" ht="15.75" customHeight="1">
      <c r="A706" s="211"/>
      <c r="B706" s="211"/>
      <c r="C706" s="211"/>
      <c r="D706" s="211"/>
      <c r="E706" s="21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</row>
    <row r="707" ht="15.75" customHeight="1">
      <c r="A707" s="211"/>
      <c r="B707" s="211"/>
      <c r="C707" s="211"/>
      <c r="D707" s="211"/>
      <c r="E707" s="21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</row>
    <row r="708" ht="15.75" customHeight="1">
      <c r="A708" s="211"/>
      <c r="B708" s="211"/>
      <c r="C708" s="211"/>
      <c r="D708" s="211"/>
      <c r="E708" s="21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</row>
    <row r="709" ht="15.75" customHeight="1">
      <c r="A709" s="211"/>
      <c r="B709" s="211"/>
      <c r="C709" s="211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</row>
    <row r="710" ht="15.75" customHeight="1">
      <c r="A710" s="211"/>
      <c r="B710" s="211"/>
      <c r="C710" s="211"/>
      <c r="D710" s="211"/>
      <c r="E710" s="21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</row>
    <row r="711" ht="15.75" customHeight="1">
      <c r="A711" s="211"/>
      <c r="B711" s="211"/>
      <c r="C711" s="211"/>
      <c r="D711" s="211"/>
      <c r="E711" s="21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</row>
    <row r="712" ht="15.75" customHeight="1">
      <c r="A712" s="211"/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</row>
    <row r="713" ht="15.75" customHeight="1">
      <c r="A713" s="211"/>
      <c r="B713" s="211"/>
      <c r="C713" s="211"/>
      <c r="D713" s="211"/>
      <c r="E713" s="21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</row>
    <row r="714" ht="15.75" customHeight="1">
      <c r="A714" s="211"/>
      <c r="B714" s="211"/>
      <c r="C714" s="211"/>
      <c r="D714" s="211"/>
      <c r="E714" s="21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</row>
    <row r="715" ht="15.75" customHeight="1">
      <c r="A715" s="211"/>
      <c r="B715" s="211"/>
      <c r="C715" s="211"/>
      <c r="D715" s="211"/>
      <c r="E715" s="21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</row>
    <row r="716" ht="15.75" customHeight="1">
      <c r="A716" s="211"/>
      <c r="B716" s="211"/>
      <c r="C716" s="211"/>
      <c r="D716" s="211"/>
      <c r="E716" s="21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</row>
    <row r="717" ht="15.75" customHeight="1">
      <c r="A717" s="211"/>
      <c r="B717" s="211"/>
      <c r="C717" s="211"/>
      <c r="D717" s="211"/>
      <c r="E717" s="21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</row>
    <row r="718" ht="15.75" customHeight="1">
      <c r="A718" s="211"/>
      <c r="B718" s="211"/>
      <c r="C718" s="211"/>
      <c r="D718" s="211"/>
      <c r="E718" s="21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</row>
    <row r="719" ht="15.75" customHeight="1">
      <c r="A719" s="211"/>
      <c r="B719" s="211"/>
      <c r="C719" s="211"/>
      <c r="D719" s="211"/>
      <c r="E719" s="21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</row>
    <row r="720" ht="15.75" customHeight="1">
      <c r="A720" s="211"/>
      <c r="B720" s="211"/>
      <c r="C720" s="211"/>
      <c r="D720" s="211"/>
      <c r="E720" s="21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</row>
    <row r="721" ht="15.75" customHeight="1">
      <c r="A721" s="211"/>
      <c r="B721" s="211"/>
      <c r="C721" s="211"/>
      <c r="D721" s="211"/>
      <c r="E721" s="21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</row>
    <row r="722" ht="15.75" customHeight="1">
      <c r="A722" s="211"/>
      <c r="B722" s="211"/>
      <c r="C722" s="211"/>
      <c r="D722" s="211"/>
      <c r="E722" s="21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</row>
    <row r="723" ht="15.75" customHeight="1">
      <c r="A723" s="211"/>
      <c r="B723" s="211"/>
      <c r="C723" s="211"/>
      <c r="D723" s="211"/>
      <c r="E723" s="21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</row>
    <row r="724" ht="15.75" customHeight="1">
      <c r="A724" s="211"/>
      <c r="B724" s="211"/>
      <c r="C724" s="211"/>
      <c r="D724" s="211"/>
      <c r="E724" s="21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</row>
    <row r="725" ht="15.75" customHeight="1">
      <c r="A725" s="211"/>
      <c r="B725" s="211"/>
      <c r="C725" s="211"/>
      <c r="D725" s="211"/>
      <c r="E725" s="21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</row>
    <row r="726" ht="15.75" customHeight="1">
      <c r="A726" s="211"/>
      <c r="B726" s="211"/>
      <c r="C726" s="211"/>
      <c r="D726" s="211"/>
      <c r="E726" s="21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</row>
    <row r="727" ht="15.75" customHeight="1">
      <c r="A727" s="211"/>
      <c r="B727" s="211"/>
      <c r="C727" s="211"/>
      <c r="D727" s="211"/>
      <c r="E727" s="21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</row>
    <row r="728" ht="15.75" customHeight="1">
      <c r="A728" s="211"/>
      <c r="B728" s="211"/>
      <c r="C728" s="211"/>
      <c r="D728" s="211"/>
      <c r="E728" s="21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</row>
    <row r="729" ht="15.75" customHeight="1">
      <c r="A729" s="211"/>
      <c r="B729" s="211"/>
      <c r="C729" s="211"/>
      <c r="D729" s="211"/>
      <c r="E729" s="21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</row>
    <row r="730" ht="15.75" customHeight="1">
      <c r="A730" s="211"/>
      <c r="B730" s="211"/>
      <c r="C730" s="211"/>
      <c r="D730" s="211"/>
      <c r="E730" s="21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</row>
    <row r="731" ht="15.75" customHeight="1">
      <c r="A731" s="211"/>
      <c r="B731" s="211"/>
      <c r="C731" s="211"/>
      <c r="D731" s="211"/>
      <c r="E731" s="21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</row>
    <row r="732" ht="15.75" customHeight="1">
      <c r="A732" s="211"/>
      <c r="B732" s="211"/>
      <c r="C732" s="211"/>
      <c r="D732" s="211"/>
      <c r="E732" s="21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</row>
    <row r="733" ht="15.75" customHeight="1">
      <c r="A733" s="211"/>
      <c r="B733" s="211"/>
      <c r="C733" s="211"/>
      <c r="D733" s="211"/>
      <c r="E733" s="21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</row>
    <row r="734" ht="15.75" customHeight="1">
      <c r="A734" s="211"/>
      <c r="B734" s="211"/>
      <c r="C734" s="211"/>
      <c r="D734" s="211"/>
      <c r="E734" s="21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</row>
    <row r="735" ht="15.75" customHeight="1">
      <c r="A735" s="211"/>
      <c r="B735" s="211"/>
      <c r="C735" s="211"/>
      <c r="D735" s="211"/>
      <c r="E735" s="21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</row>
    <row r="736" ht="15.75" customHeight="1">
      <c r="A736" s="211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</row>
    <row r="737" ht="15.75" customHeight="1">
      <c r="A737" s="211"/>
      <c r="B737" s="211"/>
      <c r="C737" s="211"/>
      <c r="D737" s="211"/>
      <c r="E737" s="21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</row>
    <row r="738" ht="15.75" customHeight="1">
      <c r="A738" s="211"/>
      <c r="B738" s="211"/>
      <c r="C738" s="211"/>
      <c r="D738" s="211"/>
      <c r="E738" s="21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</row>
    <row r="739" ht="15.75" customHeight="1">
      <c r="A739" s="211"/>
      <c r="B739" s="211"/>
      <c r="C739" s="211"/>
      <c r="D739" s="211"/>
      <c r="E739" s="21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</row>
    <row r="740" ht="15.75" customHeight="1">
      <c r="A740" s="211"/>
      <c r="B740" s="211"/>
      <c r="C740" s="211"/>
      <c r="D740" s="211"/>
      <c r="E740" s="21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</row>
    <row r="741" ht="15.75" customHeight="1">
      <c r="A741" s="211"/>
      <c r="B741" s="211"/>
      <c r="C741" s="211"/>
      <c r="D741" s="211"/>
      <c r="E741" s="21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</row>
    <row r="742" ht="15.75" customHeight="1">
      <c r="A742" s="211"/>
      <c r="B742" s="211"/>
      <c r="C742" s="211"/>
      <c r="D742" s="211"/>
      <c r="E742" s="21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</row>
    <row r="743" ht="15.75" customHeight="1">
      <c r="A743" s="211"/>
      <c r="B743" s="211"/>
      <c r="C743" s="211"/>
      <c r="D743" s="211"/>
      <c r="E743" s="21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</row>
    <row r="744" ht="15.75" customHeight="1">
      <c r="A744" s="211"/>
      <c r="B744" s="211"/>
      <c r="C744" s="211"/>
      <c r="D744" s="211"/>
      <c r="E744" s="21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</row>
    <row r="745" ht="15.75" customHeight="1">
      <c r="A745" s="211"/>
      <c r="B745" s="211"/>
      <c r="C745" s="211"/>
      <c r="D745" s="211"/>
      <c r="E745" s="21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</row>
    <row r="746" ht="15.75" customHeight="1">
      <c r="A746" s="211"/>
      <c r="B746" s="211"/>
      <c r="C746" s="211"/>
      <c r="D746" s="211"/>
      <c r="E746" s="21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</row>
    <row r="747" ht="15.75" customHeight="1">
      <c r="A747" s="211"/>
      <c r="B747" s="211"/>
      <c r="C747" s="211"/>
      <c r="D747" s="211"/>
      <c r="E747" s="21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</row>
    <row r="748" ht="15.75" customHeight="1">
      <c r="A748" s="211"/>
      <c r="B748" s="211"/>
      <c r="C748" s="211"/>
      <c r="D748" s="211"/>
      <c r="E748" s="21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</row>
    <row r="749" ht="15.75" customHeight="1">
      <c r="A749" s="211"/>
      <c r="B749" s="211"/>
      <c r="C749" s="211"/>
      <c r="D749" s="211"/>
      <c r="E749" s="21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</row>
    <row r="750" ht="15.75" customHeight="1">
      <c r="A750" s="211"/>
      <c r="B750" s="211"/>
      <c r="C750" s="211"/>
      <c r="D750" s="211"/>
      <c r="E750" s="21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</row>
    <row r="751" ht="15.75" customHeight="1">
      <c r="A751" s="211"/>
      <c r="B751" s="211"/>
      <c r="C751" s="211"/>
      <c r="D751" s="211"/>
      <c r="E751" s="21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</row>
    <row r="752" ht="15.75" customHeight="1">
      <c r="A752" s="211"/>
      <c r="B752" s="211"/>
      <c r="C752" s="211"/>
      <c r="D752" s="211"/>
      <c r="E752" s="21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</row>
    <row r="753" ht="15.75" customHeight="1">
      <c r="A753" s="211"/>
      <c r="B753" s="211"/>
      <c r="C753" s="211"/>
      <c r="D753" s="211"/>
      <c r="E753" s="21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</row>
    <row r="754" ht="15.75" customHeight="1">
      <c r="A754" s="211"/>
      <c r="B754" s="211"/>
      <c r="C754" s="211"/>
      <c r="D754" s="211"/>
      <c r="E754" s="21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</row>
    <row r="755" ht="15.75" customHeight="1">
      <c r="A755" s="211"/>
      <c r="B755" s="211"/>
      <c r="C755" s="211"/>
      <c r="D755" s="211"/>
      <c r="E755" s="21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</row>
    <row r="756" ht="15.75" customHeight="1">
      <c r="A756" s="211"/>
      <c r="B756" s="211"/>
      <c r="C756" s="211"/>
      <c r="D756" s="211"/>
      <c r="E756" s="21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</row>
    <row r="757" ht="15.75" customHeight="1">
      <c r="A757" s="211"/>
      <c r="B757" s="211"/>
      <c r="C757" s="211"/>
      <c r="D757" s="211"/>
      <c r="E757" s="21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</row>
    <row r="758" ht="15.75" customHeight="1">
      <c r="A758" s="211"/>
      <c r="B758" s="211"/>
      <c r="C758" s="211"/>
      <c r="D758" s="211"/>
      <c r="E758" s="21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</row>
    <row r="759" ht="15.75" customHeight="1">
      <c r="A759" s="211"/>
      <c r="B759" s="211"/>
      <c r="C759" s="211"/>
      <c r="D759" s="211"/>
      <c r="E759" s="21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</row>
    <row r="760" ht="15.75" customHeight="1">
      <c r="A760" s="211"/>
      <c r="B760" s="211"/>
      <c r="C760" s="211"/>
      <c r="D760" s="211"/>
      <c r="E760" s="21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</row>
    <row r="761" ht="15.75" customHeight="1">
      <c r="A761" s="211"/>
      <c r="B761" s="211"/>
      <c r="C761" s="211"/>
      <c r="D761" s="211"/>
      <c r="E761" s="21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</row>
    <row r="762" ht="15.75" customHeight="1">
      <c r="A762" s="211"/>
      <c r="B762" s="211"/>
      <c r="C762" s="211"/>
      <c r="D762" s="211"/>
      <c r="E762" s="21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</row>
    <row r="763" ht="15.75" customHeight="1">
      <c r="A763" s="211"/>
      <c r="B763" s="211"/>
      <c r="C763" s="211"/>
      <c r="D763" s="211"/>
      <c r="E763" s="21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</row>
    <row r="764" ht="15.75" customHeight="1">
      <c r="A764" s="211"/>
      <c r="B764" s="211"/>
      <c r="C764" s="211"/>
      <c r="D764" s="211"/>
      <c r="E764" s="21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</row>
    <row r="765" ht="15.75" customHeight="1">
      <c r="A765" s="211"/>
      <c r="B765" s="211"/>
      <c r="C765" s="211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</row>
    <row r="766" ht="15.75" customHeight="1">
      <c r="A766" s="211"/>
      <c r="B766" s="211"/>
      <c r="C766" s="211"/>
      <c r="D766" s="211"/>
      <c r="E766" s="21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</row>
    <row r="767" ht="15.75" customHeight="1">
      <c r="A767" s="211"/>
      <c r="B767" s="211"/>
      <c r="C767" s="211"/>
      <c r="D767" s="211"/>
      <c r="E767" s="21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</row>
    <row r="768" ht="15.75" customHeight="1">
      <c r="A768" s="211"/>
      <c r="B768" s="211"/>
      <c r="C768" s="211"/>
      <c r="D768" s="211"/>
      <c r="E768" s="21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</row>
    <row r="769" ht="15.75" customHeight="1">
      <c r="A769" s="211"/>
      <c r="B769" s="211"/>
      <c r="C769" s="211"/>
      <c r="D769" s="211"/>
      <c r="E769" s="21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</row>
    <row r="770" ht="15.75" customHeight="1">
      <c r="A770" s="211"/>
      <c r="B770" s="211"/>
      <c r="C770" s="211"/>
      <c r="D770" s="211"/>
      <c r="E770" s="21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</row>
    <row r="771" ht="15.75" customHeight="1">
      <c r="A771" s="211"/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</row>
    <row r="772" ht="15.75" customHeight="1">
      <c r="A772" s="211"/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</row>
    <row r="773" ht="15.75" customHeight="1">
      <c r="A773" s="211"/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</row>
    <row r="774" ht="15.75" customHeight="1">
      <c r="A774" s="211"/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</row>
    <row r="775" ht="15.75" customHeight="1">
      <c r="A775" s="211"/>
      <c r="B775" s="211"/>
      <c r="C775" s="211"/>
      <c r="D775" s="211"/>
      <c r="E775" s="21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</row>
    <row r="776" ht="15.75" customHeight="1">
      <c r="A776" s="211"/>
      <c r="B776" s="211"/>
      <c r="C776" s="211"/>
      <c r="D776" s="211"/>
      <c r="E776" s="21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</row>
    <row r="777" ht="15.75" customHeight="1">
      <c r="A777" s="211"/>
      <c r="B777" s="211"/>
      <c r="C777" s="211"/>
      <c r="D777" s="211"/>
      <c r="E777" s="21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</row>
    <row r="778" ht="15.75" customHeight="1">
      <c r="A778" s="211"/>
      <c r="B778" s="211"/>
      <c r="C778" s="211"/>
      <c r="D778" s="211"/>
      <c r="E778" s="21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</row>
    <row r="779" ht="15.75" customHeight="1">
      <c r="A779" s="211"/>
      <c r="B779" s="211"/>
      <c r="C779" s="211"/>
      <c r="D779" s="211"/>
      <c r="E779" s="21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</row>
    <row r="780" ht="15.75" customHeight="1">
      <c r="A780" s="211"/>
      <c r="B780" s="211"/>
      <c r="C780" s="211"/>
      <c r="D780" s="211"/>
      <c r="E780" s="21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</row>
    <row r="781" ht="15.75" customHeight="1">
      <c r="A781" s="211"/>
      <c r="B781" s="211"/>
      <c r="C781" s="211"/>
      <c r="D781" s="211"/>
      <c r="E781" s="21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</row>
    <row r="782" ht="15.75" customHeight="1">
      <c r="A782" s="211"/>
      <c r="B782" s="211"/>
      <c r="C782" s="211"/>
      <c r="D782" s="211"/>
      <c r="E782" s="21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</row>
    <row r="783" ht="15.75" customHeight="1">
      <c r="A783" s="211"/>
      <c r="B783" s="211"/>
      <c r="C783" s="211"/>
      <c r="D783" s="211"/>
      <c r="E783" s="21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</row>
    <row r="784" ht="15.75" customHeight="1">
      <c r="A784" s="211"/>
      <c r="B784" s="211"/>
      <c r="C784" s="211"/>
      <c r="D784" s="211"/>
      <c r="E784" s="21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</row>
    <row r="785" ht="15.75" customHeight="1">
      <c r="A785" s="211"/>
      <c r="B785" s="211"/>
      <c r="C785" s="211"/>
      <c r="D785" s="211"/>
      <c r="E785" s="21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</row>
    <row r="786" ht="15.75" customHeight="1">
      <c r="A786" s="211"/>
      <c r="B786" s="211"/>
      <c r="C786" s="211"/>
      <c r="D786" s="211"/>
      <c r="E786" s="21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</row>
    <row r="787" ht="15.75" customHeight="1">
      <c r="A787" s="211"/>
      <c r="B787" s="211"/>
      <c r="C787" s="211"/>
      <c r="D787" s="211"/>
      <c r="E787" s="21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</row>
    <row r="788" ht="15.75" customHeight="1">
      <c r="A788" s="211"/>
      <c r="B788" s="211"/>
      <c r="C788" s="211"/>
      <c r="D788" s="211"/>
      <c r="E788" s="21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</row>
    <row r="789" ht="15.75" customHeight="1">
      <c r="A789" s="211"/>
      <c r="B789" s="211"/>
      <c r="C789" s="211"/>
      <c r="D789" s="211"/>
      <c r="E789" s="21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</row>
    <row r="790" ht="15.75" customHeight="1">
      <c r="A790" s="211"/>
      <c r="B790" s="211"/>
      <c r="C790" s="211"/>
      <c r="D790" s="211"/>
      <c r="E790" s="21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</row>
    <row r="791" ht="15.75" customHeight="1">
      <c r="A791" s="211"/>
      <c r="B791" s="211"/>
      <c r="C791" s="211"/>
      <c r="D791" s="211"/>
      <c r="E791" s="21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</row>
    <row r="792" ht="15.75" customHeight="1">
      <c r="A792" s="211"/>
      <c r="B792" s="211"/>
      <c r="C792" s="211"/>
      <c r="D792" s="211"/>
      <c r="E792" s="21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</row>
    <row r="793" ht="15.75" customHeight="1">
      <c r="A793" s="211"/>
      <c r="B793" s="211"/>
      <c r="C793" s="211"/>
      <c r="D793" s="211"/>
      <c r="E793" s="21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</row>
    <row r="794" ht="15.75" customHeight="1">
      <c r="A794" s="211"/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</row>
    <row r="795" ht="15.75" customHeight="1">
      <c r="A795" s="211"/>
      <c r="B795" s="211"/>
      <c r="C795" s="211"/>
      <c r="D795" s="211"/>
      <c r="E795" s="21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</row>
    <row r="796" ht="15.75" customHeight="1">
      <c r="A796" s="211"/>
      <c r="B796" s="211"/>
      <c r="C796" s="211"/>
      <c r="D796" s="211"/>
      <c r="E796" s="21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</row>
    <row r="797" ht="15.75" customHeight="1">
      <c r="A797" s="211"/>
      <c r="B797" s="211"/>
      <c r="C797" s="211"/>
      <c r="D797" s="211"/>
      <c r="E797" s="21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</row>
    <row r="798" ht="15.75" customHeight="1">
      <c r="A798" s="211"/>
      <c r="B798" s="211"/>
      <c r="C798" s="211"/>
      <c r="D798" s="211"/>
      <c r="E798" s="21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</row>
    <row r="799" ht="15.75" customHeight="1">
      <c r="A799" s="211"/>
      <c r="B799" s="211"/>
      <c r="C799" s="211"/>
      <c r="D799" s="211"/>
      <c r="E799" s="21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</row>
    <row r="800" ht="15.75" customHeight="1">
      <c r="A800" s="211"/>
      <c r="B800" s="211"/>
      <c r="C800" s="211"/>
      <c r="D800" s="211"/>
      <c r="E800" s="21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</row>
    <row r="801" ht="15.75" customHeight="1">
      <c r="A801" s="211"/>
      <c r="B801" s="211"/>
      <c r="C801" s="211"/>
      <c r="D801" s="211"/>
      <c r="E801" s="21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</row>
    <row r="802" ht="15.75" customHeight="1">
      <c r="A802" s="211"/>
      <c r="B802" s="211"/>
      <c r="C802" s="211"/>
      <c r="D802" s="211"/>
      <c r="E802" s="21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</row>
    <row r="803" ht="15.75" customHeight="1">
      <c r="A803" s="211"/>
      <c r="B803" s="211"/>
      <c r="C803" s="211"/>
      <c r="D803" s="211"/>
      <c r="E803" s="21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</row>
    <row r="804" ht="15.75" customHeight="1">
      <c r="A804" s="211"/>
      <c r="B804" s="211"/>
      <c r="C804" s="211"/>
      <c r="D804" s="211"/>
      <c r="E804" s="21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</row>
    <row r="805" ht="15.75" customHeight="1">
      <c r="A805" s="211"/>
      <c r="B805" s="211"/>
      <c r="C805" s="211"/>
      <c r="D805" s="211"/>
      <c r="E805" s="21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</row>
    <row r="806" ht="15.75" customHeight="1">
      <c r="A806" s="211"/>
      <c r="B806" s="211"/>
      <c r="C806" s="211"/>
      <c r="D806" s="211"/>
      <c r="E806" s="21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</row>
    <row r="807" ht="15.75" customHeight="1">
      <c r="A807" s="211"/>
      <c r="B807" s="211"/>
      <c r="C807" s="211"/>
      <c r="D807" s="211"/>
      <c r="E807" s="21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</row>
    <row r="808" ht="15.75" customHeight="1">
      <c r="A808" s="211"/>
      <c r="B808" s="211"/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</row>
    <row r="809" ht="15.75" customHeight="1">
      <c r="A809" s="211"/>
      <c r="B809" s="211"/>
      <c r="C809" s="211"/>
      <c r="D809" s="211"/>
      <c r="E809" s="21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</row>
    <row r="810" ht="15.75" customHeight="1">
      <c r="A810" s="211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</row>
    <row r="811" ht="15.75" customHeight="1">
      <c r="A811" s="211"/>
      <c r="B811" s="211"/>
      <c r="C811" s="211"/>
      <c r="D811" s="211"/>
      <c r="E811" s="21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</row>
    <row r="812" ht="15.75" customHeight="1">
      <c r="A812" s="211"/>
      <c r="B812" s="211"/>
      <c r="C812" s="211"/>
      <c r="D812" s="211"/>
      <c r="E812" s="21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</row>
    <row r="813" ht="15.75" customHeight="1">
      <c r="A813" s="211"/>
      <c r="B813" s="211"/>
      <c r="C813" s="211"/>
      <c r="D813" s="211"/>
      <c r="E813" s="21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</row>
    <row r="814" ht="15.75" customHeight="1">
      <c r="A814" s="211"/>
      <c r="B814" s="211"/>
      <c r="C814" s="211"/>
      <c r="D814" s="211"/>
      <c r="E814" s="21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</row>
    <row r="815" ht="15.75" customHeight="1">
      <c r="A815" s="211"/>
      <c r="B815" s="211"/>
      <c r="C815" s="211"/>
      <c r="D815" s="211"/>
      <c r="E815" s="21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</row>
    <row r="816" ht="15.75" customHeight="1">
      <c r="A816" s="211"/>
      <c r="B816" s="211"/>
      <c r="C816" s="211"/>
      <c r="D816" s="211"/>
      <c r="E816" s="21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</row>
    <row r="817" ht="15.75" customHeight="1">
      <c r="A817" s="211"/>
      <c r="B817" s="211"/>
      <c r="C817" s="211"/>
      <c r="D817" s="211"/>
      <c r="E817" s="21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</row>
    <row r="818" ht="15.75" customHeight="1">
      <c r="A818" s="211"/>
      <c r="B818" s="211"/>
      <c r="C818" s="211"/>
      <c r="D818" s="211"/>
      <c r="E818" s="21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</row>
    <row r="819" ht="15.75" customHeight="1">
      <c r="A819" s="211"/>
      <c r="B819" s="211"/>
      <c r="C819" s="211"/>
      <c r="D819" s="211"/>
      <c r="E819" s="21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</row>
    <row r="820" ht="15.75" customHeight="1">
      <c r="A820" s="211"/>
      <c r="B820" s="211"/>
      <c r="C820" s="211"/>
      <c r="D820" s="211"/>
      <c r="E820" s="21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</row>
    <row r="821" ht="15.75" customHeight="1">
      <c r="A821" s="211"/>
      <c r="B821" s="211"/>
      <c r="C821" s="211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</row>
    <row r="822" ht="15.75" customHeight="1">
      <c r="A822" s="211"/>
      <c r="B822" s="211"/>
      <c r="C822" s="211"/>
      <c r="D822" s="211"/>
      <c r="E822" s="21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</row>
    <row r="823" ht="15.75" customHeight="1">
      <c r="A823" s="211"/>
      <c r="B823" s="211"/>
      <c r="C823" s="211"/>
      <c r="D823" s="211"/>
      <c r="E823" s="21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</row>
    <row r="824" ht="15.75" customHeight="1">
      <c r="A824" s="211"/>
      <c r="B824" s="211"/>
      <c r="C824" s="211"/>
      <c r="D824" s="211"/>
      <c r="E824" s="21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</row>
    <row r="825" ht="15.75" customHeight="1">
      <c r="A825" s="211"/>
      <c r="B825" s="211"/>
      <c r="C825" s="211"/>
      <c r="D825" s="211"/>
      <c r="E825" s="21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</row>
    <row r="826" ht="15.75" customHeight="1">
      <c r="A826" s="211"/>
      <c r="B826" s="211"/>
      <c r="C826" s="211"/>
      <c r="D826" s="211"/>
      <c r="E826" s="21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</row>
    <row r="827" ht="15.75" customHeight="1">
      <c r="A827" s="211"/>
      <c r="B827" s="211"/>
      <c r="C827" s="211"/>
      <c r="D827" s="211"/>
      <c r="E827" s="21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</row>
    <row r="828" ht="15.75" customHeight="1">
      <c r="A828" s="211"/>
      <c r="B828" s="211"/>
      <c r="C828" s="211"/>
      <c r="D828" s="211"/>
      <c r="E828" s="21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</row>
    <row r="829" ht="15.75" customHeight="1">
      <c r="A829" s="211"/>
      <c r="B829" s="211"/>
      <c r="C829" s="211"/>
      <c r="D829" s="211"/>
      <c r="E829" s="21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</row>
    <row r="830" ht="15.75" customHeight="1">
      <c r="A830" s="211"/>
      <c r="B830" s="211"/>
      <c r="C830" s="211"/>
      <c r="D830" s="211"/>
      <c r="E830" s="21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</row>
    <row r="831" ht="15.75" customHeight="1">
      <c r="A831" s="211"/>
      <c r="B831" s="211"/>
      <c r="C831" s="211"/>
      <c r="D831" s="211"/>
      <c r="E831" s="21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</row>
    <row r="832" ht="15.75" customHeight="1">
      <c r="A832" s="211"/>
      <c r="B832" s="211"/>
      <c r="C832" s="211"/>
      <c r="D832" s="211"/>
      <c r="E832" s="21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</row>
    <row r="833" ht="15.75" customHeight="1">
      <c r="A833" s="211"/>
      <c r="B833" s="211"/>
      <c r="C833" s="211"/>
      <c r="D833" s="211"/>
      <c r="E833" s="21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</row>
    <row r="834" ht="15.75" customHeight="1">
      <c r="A834" s="211"/>
      <c r="B834" s="211"/>
      <c r="C834" s="211"/>
      <c r="D834" s="211"/>
      <c r="E834" s="21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</row>
    <row r="835" ht="15.75" customHeight="1">
      <c r="A835" s="211"/>
      <c r="B835" s="211"/>
      <c r="C835" s="211"/>
      <c r="D835" s="211"/>
      <c r="E835" s="21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</row>
    <row r="836" ht="15.75" customHeight="1">
      <c r="A836" s="211"/>
      <c r="B836" s="211"/>
      <c r="C836" s="211"/>
      <c r="D836" s="211"/>
      <c r="E836" s="21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</row>
    <row r="837" ht="15.75" customHeight="1">
      <c r="A837" s="211"/>
      <c r="B837" s="211"/>
      <c r="C837" s="211"/>
      <c r="D837" s="211"/>
      <c r="E837" s="21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</row>
    <row r="838" ht="15.75" customHeight="1">
      <c r="A838" s="211"/>
      <c r="B838" s="211"/>
      <c r="C838" s="211"/>
      <c r="D838" s="211"/>
      <c r="E838" s="21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</row>
    <row r="839" ht="15.75" customHeight="1">
      <c r="A839" s="211"/>
      <c r="B839" s="211"/>
      <c r="C839" s="211"/>
      <c r="D839" s="211"/>
      <c r="E839" s="21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</row>
    <row r="840" ht="15.75" customHeight="1">
      <c r="A840" s="211"/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</row>
    <row r="841" ht="15.75" customHeight="1">
      <c r="A841" s="211"/>
      <c r="B841" s="211"/>
      <c r="C841" s="211"/>
      <c r="D841" s="211"/>
      <c r="E841" s="21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</row>
    <row r="842" ht="15.75" customHeight="1">
      <c r="A842" s="211"/>
      <c r="B842" s="211"/>
      <c r="C842" s="211"/>
      <c r="D842" s="211"/>
      <c r="E842" s="21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</row>
    <row r="843" ht="15.75" customHeight="1">
      <c r="A843" s="211"/>
      <c r="B843" s="211"/>
      <c r="C843" s="211"/>
      <c r="D843" s="211"/>
      <c r="E843" s="21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</row>
    <row r="844" ht="15.75" customHeight="1">
      <c r="A844" s="211"/>
      <c r="B844" s="211"/>
      <c r="C844" s="211"/>
      <c r="D844" s="211"/>
      <c r="E844" s="21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</row>
    <row r="845" ht="15.75" customHeight="1">
      <c r="A845" s="211"/>
      <c r="B845" s="211"/>
      <c r="C845" s="211"/>
      <c r="D845" s="211"/>
      <c r="E845" s="21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</row>
    <row r="846" ht="15.75" customHeight="1">
      <c r="A846" s="211"/>
      <c r="B846" s="211"/>
      <c r="C846" s="211"/>
      <c r="D846" s="211"/>
      <c r="E846" s="21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</row>
    <row r="847" ht="15.75" customHeight="1">
      <c r="A847" s="211"/>
      <c r="B847" s="211"/>
      <c r="C847" s="211"/>
      <c r="D847" s="211"/>
      <c r="E847" s="21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</row>
    <row r="848" ht="15.75" customHeight="1">
      <c r="A848" s="211"/>
      <c r="B848" s="211"/>
      <c r="C848" s="211"/>
      <c r="D848" s="211"/>
      <c r="E848" s="21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</row>
    <row r="849" ht="15.75" customHeight="1">
      <c r="A849" s="211"/>
      <c r="B849" s="211"/>
      <c r="C849" s="211"/>
      <c r="D849" s="211"/>
      <c r="E849" s="21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</row>
    <row r="850" ht="15.75" customHeight="1">
      <c r="A850" s="211"/>
      <c r="B850" s="211"/>
      <c r="C850" s="211"/>
      <c r="D850" s="211"/>
      <c r="E850" s="21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</row>
    <row r="851" ht="15.75" customHeight="1">
      <c r="A851" s="211"/>
      <c r="B851" s="211"/>
      <c r="C851" s="211"/>
      <c r="D851" s="211"/>
      <c r="E851" s="21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</row>
    <row r="852" ht="15.75" customHeight="1">
      <c r="A852" s="211"/>
      <c r="B852" s="211"/>
      <c r="C852" s="211"/>
      <c r="D852" s="211"/>
      <c r="E852" s="21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</row>
    <row r="853" ht="15.75" customHeight="1">
      <c r="A853" s="211"/>
      <c r="B853" s="211"/>
      <c r="C853" s="211"/>
      <c r="D853" s="211"/>
      <c r="E853" s="21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</row>
    <row r="854" ht="15.75" customHeight="1">
      <c r="A854" s="211"/>
      <c r="B854" s="211"/>
      <c r="C854" s="211"/>
      <c r="D854" s="211"/>
      <c r="E854" s="21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</row>
    <row r="855" ht="15.75" customHeight="1">
      <c r="A855" s="211"/>
      <c r="B855" s="211"/>
      <c r="C855" s="211"/>
      <c r="D855" s="211"/>
      <c r="E855" s="21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</row>
    <row r="856" ht="15.75" customHeight="1">
      <c r="A856" s="211"/>
      <c r="B856" s="211"/>
      <c r="C856" s="211"/>
      <c r="D856" s="211"/>
      <c r="E856" s="21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</row>
    <row r="857" ht="15.75" customHeight="1">
      <c r="A857" s="211"/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</row>
    <row r="858" ht="15.75" customHeight="1">
      <c r="A858" s="211"/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</row>
    <row r="859" ht="15.75" customHeight="1">
      <c r="A859" s="211"/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</row>
    <row r="860" ht="15.75" customHeight="1">
      <c r="A860" s="211"/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</row>
    <row r="861" ht="15.75" customHeight="1">
      <c r="A861" s="211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</row>
    <row r="862" ht="15.75" customHeight="1">
      <c r="A862" s="211"/>
      <c r="B862" s="211"/>
      <c r="C862" s="211"/>
      <c r="D862" s="211"/>
      <c r="E862" s="21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</row>
    <row r="863" ht="15.75" customHeight="1">
      <c r="A863" s="211"/>
      <c r="B863" s="211"/>
      <c r="C863" s="211"/>
      <c r="D863" s="211"/>
      <c r="E863" s="21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</row>
    <row r="864" ht="15.75" customHeight="1">
      <c r="A864" s="211"/>
      <c r="B864" s="211"/>
      <c r="C864" s="211"/>
      <c r="D864" s="211"/>
      <c r="E864" s="21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</row>
    <row r="865" ht="15.75" customHeight="1">
      <c r="A865" s="211"/>
      <c r="B865" s="211"/>
      <c r="C865" s="211"/>
      <c r="D865" s="211"/>
      <c r="E865" s="21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</row>
    <row r="866" ht="15.75" customHeight="1">
      <c r="A866" s="211"/>
      <c r="B866" s="211"/>
      <c r="C866" s="211"/>
      <c r="D866" s="211"/>
      <c r="E866" s="21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</row>
    <row r="867" ht="15.75" customHeight="1">
      <c r="A867" s="211"/>
      <c r="B867" s="211"/>
      <c r="C867" s="211"/>
      <c r="D867" s="211"/>
      <c r="E867" s="21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</row>
    <row r="868" ht="15.75" customHeight="1">
      <c r="A868" s="211"/>
      <c r="B868" s="211"/>
      <c r="C868" s="211"/>
      <c r="D868" s="211"/>
      <c r="E868" s="21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</row>
    <row r="869" ht="15.75" customHeight="1">
      <c r="A869" s="211"/>
      <c r="B869" s="211"/>
      <c r="C869" s="211"/>
      <c r="D869" s="211"/>
      <c r="E869" s="21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</row>
    <row r="870" ht="15.75" customHeight="1">
      <c r="A870" s="211"/>
      <c r="B870" s="211"/>
      <c r="C870" s="211"/>
      <c r="D870" s="211"/>
      <c r="E870" s="21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</row>
    <row r="871" ht="15.75" customHeight="1">
      <c r="A871" s="211"/>
      <c r="B871" s="211"/>
      <c r="C871" s="211"/>
      <c r="D871" s="211"/>
      <c r="E871" s="21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</row>
    <row r="872" ht="15.75" customHeight="1">
      <c r="A872" s="211"/>
      <c r="B872" s="211"/>
      <c r="C872" s="211"/>
      <c r="D872" s="211"/>
      <c r="E872" s="21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</row>
    <row r="873" ht="15.75" customHeight="1">
      <c r="A873" s="211"/>
      <c r="B873" s="211"/>
      <c r="C873" s="211"/>
      <c r="D873" s="211"/>
      <c r="E873" s="21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</row>
    <row r="874" ht="15.75" customHeight="1">
      <c r="A874" s="211"/>
      <c r="B874" s="211"/>
      <c r="C874" s="211"/>
      <c r="D874" s="211"/>
      <c r="E874" s="21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</row>
    <row r="875" ht="15.75" customHeight="1">
      <c r="A875" s="211"/>
      <c r="B875" s="211"/>
      <c r="C875" s="211"/>
      <c r="D875" s="211"/>
      <c r="E875" s="21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</row>
    <row r="876" ht="15.75" customHeight="1">
      <c r="A876" s="211"/>
      <c r="B876" s="211"/>
      <c r="C876" s="211"/>
      <c r="D876" s="211"/>
      <c r="E876" s="21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</row>
    <row r="877" ht="15.75" customHeight="1">
      <c r="A877" s="211"/>
      <c r="B877" s="211"/>
      <c r="C877" s="211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</row>
    <row r="878" ht="15.75" customHeight="1">
      <c r="A878" s="211"/>
      <c r="B878" s="211"/>
      <c r="C878" s="211"/>
      <c r="D878" s="211"/>
      <c r="E878" s="21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</row>
    <row r="879" ht="15.75" customHeight="1">
      <c r="A879" s="211"/>
      <c r="B879" s="211"/>
      <c r="C879" s="211"/>
      <c r="D879" s="211"/>
      <c r="E879" s="21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</row>
    <row r="880" ht="15.75" customHeight="1">
      <c r="A880" s="211"/>
      <c r="B880" s="211"/>
      <c r="C880" s="211"/>
      <c r="D880" s="211"/>
      <c r="E880" s="21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</row>
    <row r="881" ht="15.75" customHeight="1">
      <c r="A881" s="211"/>
      <c r="B881" s="211"/>
      <c r="C881" s="211"/>
      <c r="D881" s="211"/>
      <c r="E881" s="21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</row>
    <row r="882" ht="15.75" customHeight="1">
      <c r="A882" s="211"/>
      <c r="B882" s="211"/>
      <c r="C882" s="211"/>
      <c r="D882" s="211"/>
      <c r="E882" s="21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</row>
    <row r="883" ht="15.75" customHeight="1">
      <c r="A883" s="211"/>
      <c r="B883" s="211"/>
      <c r="C883" s="211"/>
      <c r="D883" s="211"/>
      <c r="E883" s="21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</row>
    <row r="884" ht="15.75" customHeight="1">
      <c r="A884" s="211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</row>
    <row r="885" ht="15.75" customHeight="1">
      <c r="A885" s="211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</row>
    <row r="886" ht="15.75" customHeight="1">
      <c r="A886" s="211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</row>
    <row r="887" ht="15.75" customHeight="1">
      <c r="A887" s="211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</row>
    <row r="888" ht="15.75" customHeight="1">
      <c r="A888" s="211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</row>
    <row r="889" ht="15.75" customHeight="1">
      <c r="A889" s="211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</row>
    <row r="890" ht="15.75" customHeight="1">
      <c r="A890" s="211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</row>
    <row r="891" ht="15.75" customHeight="1">
      <c r="A891" s="211"/>
      <c r="B891" s="211"/>
      <c r="C891" s="211"/>
      <c r="D891" s="211"/>
      <c r="E891" s="21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</row>
    <row r="892" ht="15.75" customHeight="1">
      <c r="A892" s="211"/>
      <c r="B892" s="211"/>
      <c r="C892" s="211"/>
      <c r="D892" s="211"/>
      <c r="E892" s="21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</row>
    <row r="893" ht="15.75" customHeight="1">
      <c r="A893" s="211"/>
      <c r="B893" s="211"/>
      <c r="C893" s="211"/>
      <c r="D893" s="211"/>
      <c r="E893" s="21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</row>
    <row r="894" ht="15.75" customHeight="1">
      <c r="A894" s="211"/>
      <c r="B894" s="211"/>
      <c r="C894" s="211"/>
      <c r="D894" s="211"/>
      <c r="E894" s="21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</row>
    <row r="895" ht="15.75" customHeight="1">
      <c r="A895" s="211"/>
      <c r="B895" s="211"/>
      <c r="C895" s="211"/>
      <c r="D895" s="211"/>
      <c r="E895" s="211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</row>
    <row r="896" ht="15.75" customHeight="1">
      <c r="A896" s="211"/>
      <c r="B896" s="211"/>
      <c r="C896" s="211"/>
      <c r="D896" s="211"/>
      <c r="E896" s="211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</row>
    <row r="897" ht="15.75" customHeight="1">
      <c r="A897" s="211"/>
      <c r="B897" s="211"/>
      <c r="C897" s="211"/>
      <c r="D897" s="211"/>
      <c r="E897" s="211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</row>
    <row r="898" ht="15.75" customHeight="1">
      <c r="A898" s="211"/>
      <c r="B898" s="211"/>
      <c r="C898" s="211"/>
      <c r="D898" s="211"/>
      <c r="E898" s="211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</row>
    <row r="899" ht="15.75" customHeight="1">
      <c r="A899" s="211"/>
      <c r="B899" s="211"/>
      <c r="C899" s="211"/>
      <c r="D899" s="211"/>
      <c r="E899" s="211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</row>
    <row r="900" ht="15.75" customHeight="1">
      <c r="A900" s="211"/>
      <c r="B900" s="211"/>
      <c r="C900" s="211"/>
      <c r="D900" s="211"/>
      <c r="E900" s="211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</row>
    <row r="901" ht="15.75" customHeight="1">
      <c r="A901" s="211"/>
      <c r="B901" s="211"/>
      <c r="C901" s="211"/>
      <c r="D901" s="211"/>
      <c r="E901" s="211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</row>
    <row r="902" ht="15.75" customHeight="1">
      <c r="A902" s="211"/>
      <c r="B902" s="211"/>
      <c r="C902" s="211"/>
      <c r="D902" s="211"/>
      <c r="E902" s="211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</row>
    <row r="903" ht="15.75" customHeight="1">
      <c r="A903" s="211"/>
      <c r="B903" s="211"/>
      <c r="C903" s="211"/>
      <c r="D903" s="211"/>
      <c r="E903" s="211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</row>
    <row r="904" ht="15.75" customHeight="1">
      <c r="A904" s="211"/>
      <c r="B904" s="211"/>
      <c r="C904" s="211"/>
      <c r="D904" s="211"/>
      <c r="E904" s="211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</row>
    <row r="905" ht="15.75" customHeight="1">
      <c r="A905" s="211"/>
      <c r="B905" s="211"/>
      <c r="C905" s="211"/>
      <c r="D905" s="211"/>
      <c r="E905" s="211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</row>
    <row r="906" ht="15.75" customHeight="1">
      <c r="A906" s="211"/>
      <c r="B906" s="211"/>
      <c r="C906" s="211"/>
      <c r="D906" s="211"/>
      <c r="E906" s="211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</row>
    <row r="907" ht="15.75" customHeight="1">
      <c r="A907" s="211"/>
      <c r="B907" s="211"/>
      <c r="C907" s="211"/>
      <c r="D907" s="211"/>
      <c r="E907" s="211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</row>
    <row r="908" ht="15.75" customHeight="1">
      <c r="A908" s="211"/>
      <c r="B908" s="211"/>
      <c r="C908" s="211"/>
      <c r="D908" s="211"/>
      <c r="E908" s="211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</row>
    <row r="909" ht="15.75" customHeight="1">
      <c r="A909" s="211"/>
      <c r="B909" s="211"/>
      <c r="C909" s="211"/>
      <c r="D909" s="211"/>
      <c r="E909" s="211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</row>
    <row r="910" ht="15.75" customHeight="1">
      <c r="A910" s="211"/>
      <c r="B910" s="211"/>
      <c r="C910" s="211"/>
      <c r="D910" s="211"/>
      <c r="E910" s="211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</row>
    <row r="911" ht="15.75" customHeight="1">
      <c r="A911" s="211"/>
      <c r="B911" s="211"/>
      <c r="C911" s="211"/>
      <c r="D911" s="211"/>
      <c r="E911" s="211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</row>
    <row r="912" ht="15.75" customHeight="1">
      <c r="A912" s="211"/>
      <c r="B912" s="211"/>
      <c r="C912" s="211"/>
      <c r="D912" s="211"/>
      <c r="E912" s="211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</row>
    <row r="913" ht="15.75" customHeight="1">
      <c r="A913" s="211"/>
      <c r="B913" s="211"/>
      <c r="C913" s="211"/>
      <c r="D913" s="211"/>
      <c r="E913" s="211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</row>
    <row r="914" ht="15.75" customHeight="1">
      <c r="A914" s="211"/>
      <c r="B914" s="211"/>
      <c r="C914" s="211"/>
      <c r="D914" s="211"/>
      <c r="E914" s="211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</row>
    <row r="915" ht="15.75" customHeight="1">
      <c r="A915" s="211"/>
      <c r="B915" s="211"/>
      <c r="C915" s="211"/>
      <c r="D915" s="211"/>
      <c r="E915" s="211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</row>
    <row r="916" ht="15.75" customHeight="1">
      <c r="A916" s="211"/>
      <c r="B916" s="211"/>
      <c r="C916" s="211"/>
      <c r="D916" s="211"/>
      <c r="E916" s="211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</row>
    <row r="917" ht="15.75" customHeight="1">
      <c r="A917" s="211"/>
      <c r="B917" s="211"/>
      <c r="C917" s="211"/>
      <c r="D917" s="211"/>
      <c r="E917" s="211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</row>
    <row r="918" ht="15.75" customHeight="1">
      <c r="A918" s="211"/>
      <c r="B918" s="211"/>
      <c r="C918" s="211"/>
      <c r="D918" s="211"/>
      <c r="E918" s="211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</row>
    <row r="919" ht="15.75" customHeight="1">
      <c r="A919" s="211"/>
      <c r="B919" s="211"/>
      <c r="C919" s="211"/>
      <c r="D919" s="211"/>
      <c r="E919" s="211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</row>
    <row r="920" ht="15.75" customHeight="1">
      <c r="A920" s="211"/>
      <c r="B920" s="211"/>
      <c r="C920" s="211"/>
      <c r="D920" s="211"/>
      <c r="E920" s="211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</row>
    <row r="921" ht="15.75" customHeight="1">
      <c r="A921" s="211"/>
      <c r="B921" s="211"/>
      <c r="C921" s="211"/>
      <c r="D921" s="211"/>
      <c r="E921" s="211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</row>
    <row r="922" ht="15.75" customHeight="1">
      <c r="A922" s="211"/>
      <c r="B922" s="211"/>
      <c r="C922" s="211"/>
      <c r="D922" s="211"/>
      <c r="E922" s="211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</row>
    <row r="923" ht="15.75" customHeight="1">
      <c r="A923" s="211"/>
      <c r="B923" s="211"/>
      <c r="C923" s="211"/>
      <c r="D923" s="211"/>
      <c r="E923" s="21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</row>
    <row r="924" ht="15.75" customHeight="1">
      <c r="A924" s="211"/>
      <c r="B924" s="211"/>
      <c r="C924" s="211"/>
      <c r="D924" s="211"/>
      <c r="E924" s="211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</row>
    <row r="925" ht="15.75" customHeight="1">
      <c r="A925" s="211"/>
      <c r="B925" s="211"/>
      <c r="C925" s="211"/>
      <c r="D925" s="211"/>
      <c r="E925" s="211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</row>
    <row r="926" ht="15.75" customHeight="1">
      <c r="A926" s="211"/>
      <c r="B926" s="211"/>
      <c r="C926" s="211"/>
      <c r="D926" s="211"/>
      <c r="E926" s="211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</row>
    <row r="927" ht="15.75" customHeight="1">
      <c r="A927" s="211"/>
      <c r="B927" s="211"/>
      <c r="C927" s="211"/>
      <c r="D927" s="211"/>
      <c r="E927" s="211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</row>
    <row r="928" ht="15.75" customHeight="1">
      <c r="A928" s="211"/>
      <c r="B928" s="211"/>
      <c r="C928" s="211"/>
      <c r="D928" s="211"/>
      <c r="E928" s="211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</row>
    <row r="929" ht="15.75" customHeight="1">
      <c r="A929" s="211"/>
      <c r="B929" s="211"/>
      <c r="C929" s="211"/>
      <c r="D929" s="211"/>
      <c r="E929" s="211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</row>
    <row r="930" ht="15.75" customHeight="1">
      <c r="A930" s="211"/>
      <c r="B930" s="211"/>
      <c r="C930" s="211"/>
      <c r="D930" s="211"/>
      <c r="E930" s="211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</row>
    <row r="931" ht="15.75" customHeight="1">
      <c r="A931" s="211"/>
      <c r="B931" s="211"/>
      <c r="C931" s="211"/>
      <c r="D931" s="211"/>
      <c r="E931" s="211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</row>
    <row r="932" ht="15.75" customHeight="1">
      <c r="A932" s="211"/>
      <c r="B932" s="211"/>
      <c r="C932" s="211"/>
      <c r="D932" s="211"/>
      <c r="E932" s="21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</row>
    <row r="933" ht="15.75" customHeight="1">
      <c r="A933" s="211"/>
      <c r="B933" s="211"/>
      <c r="C933" s="211"/>
      <c r="D933" s="211"/>
      <c r="E933" s="21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</row>
    <row r="934" ht="15.75" customHeight="1">
      <c r="A934" s="211"/>
      <c r="B934" s="211"/>
      <c r="C934" s="211"/>
      <c r="D934" s="211"/>
      <c r="E934" s="211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</row>
    <row r="935" ht="15.75" customHeight="1">
      <c r="A935" s="211"/>
      <c r="B935" s="211"/>
      <c r="C935" s="211"/>
      <c r="D935" s="211"/>
      <c r="E935" s="211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</row>
    <row r="936" ht="15.75" customHeight="1">
      <c r="A936" s="211"/>
      <c r="B936" s="211"/>
      <c r="C936" s="211"/>
      <c r="D936" s="211"/>
      <c r="E936" s="211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</row>
    <row r="937" ht="15.75" customHeight="1">
      <c r="A937" s="211"/>
      <c r="B937" s="211"/>
      <c r="C937" s="211"/>
      <c r="D937" s="211"/>
      <c r="E937" s="211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</row>
    <row r="938" ht="15.75" customHeight="1">
      <c r="A938" s="211"/>
      <c r="B938" s="211"/>
      <c r="C938" s="211"/>
      <c r="D938" s="211"/>
      <c r="E938" s="211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</row>
    <row r="939" ht="15.75" customHeight="1">
      <c r="A939" s="211"/>
      <c r="B939" s="211"/>
      <c r="C939" s="211"/>
      <c r="D939" s="211"/>
      <c r="E939" s="21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</row>
    <row r="940" ht="15.75" customHeight="1">
      <c r="A940" s="211"/>
      <c r="B940" s="211"/>
      <c r="C940" s="211"/>
      <c r="D940" s="211"/>
      <c r="E940" s="211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</row>
    <row r="941" ht="15.75" customHeight="1">
      <c r="A941" s="211"/>
      <c r="B941" s="211"/>
      <c r="C941" s="211"/>
      <c r="D941" s="211"/>
      <c r="E941" s="211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</row>
    <row r="942" ht="15.75" customHeight="1">
      <c r="A942" s="211"/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</row>
    <row r="943" ht="15.75" customHeight="1">
      <c r="A943" s="211"/>
      <c r="B943" s="211"/>
      <c r="C943" s="211"/>
      <c r="D943" s="211"/>
      <c r="E943" s="21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</row>
    <row r="944" ht="15.75" customHeight="1">
      <c r="A944" s="211"/>
      <c r="B944" s="211"/>
      <c r="C944" s="211"/>
      <c r="D944" s="211"/>
      <c r="E944" s="211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</row>
    <row r="945" ht="15.75" customHeight="1">
      <c r="A945" s="211"/>
      <c r="B945" s="211"/>
      <c r="C945" s="211"/>
      <c r="D945" s="211"/>
      <c r="E945" s="211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</row>
    <row r="946" ht="15.75" customHeight="1">
      <c r="A946" s="211"/>
      <c r="B946" s="211"/>
      <c r="C946" s="211"/>
      <c r="D946" s="211"/>
      <c r="E946" s="211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</row>
    <row r="947" ht="15.75" customHeight="1">
      <c r="A947" s="211"/>
      <c r="B947" s="211"/>
      <c r="C947" s="211"/>
      <c r="D947" s="211"/>
      <c r="E947" s="211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</row>
    <row r="948" ht="15.75" customHeight="1">
      <c r="A948" s="211"/>
      <c r="B948" s="211"/>
      <c r="C948" s="211"/>
      <c r="D948" s="211"/>
      <c r="E948" s="211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</row>
    <row r="949" ht="15.75" customHeight="1">
      <c r="A949" s="211"/>
      <c r="B949" s="211"/>
      <c r="C949" s="211"/>
      <c r="D949" s="211"/>
      <c r="E949" s="211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</row>
    <row r="950" ht="15.75" customHeight="1">
      <c r="A950" s="211"/>
      <c r="B950" s="211"/>
      <c r="C950" s="211"/>
      <c r="D950" s="211"/>
      <c r="E950" s="211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</row>
    <row r="951" ht="15.75" customHeight="1">
      <c r="A951" s="211"/>
      <c r="B951" s="211"/>
      <c r="C951" s="211"/>
      <c r="D951" s="211"/>
      <c r="E951" s="211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</row>
    <row r="952" ht="15.75" customHeight="1">
      <c r="A952" s="211"/>
      <c r="B952" s="211"/>
      <c r="C952" s="211"/>
      <c r="D952" s="211"/>
      <c r="E952" s="211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</row>
    <row r="953" ht="15.75" customHeight="1">
      <c r="A953" s="211"/>
      <c r="B953" s="211"/>
      <c r="C953" s="211"/>
      <c r="D953" s="211"/>
      <c r="E953" s="211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</row>
    <row r="954" ht="15.75" customHeight="1">
      <c r="A954" s="211"/>
      <c r="B954" s="211"/>
      <c r="C954" s="211"/>
      <c r="D954" s="211"/>
      <c r="E954" s="211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</row>
    <row r="955" ht="15.75" customHeight="1">
      <c r="A955" s="211"/>
      <c r="B955" s="211"/>
      <c r="C955" s="211"/>
      <c r="D955" s="211"/>
      <c r="E955" s="211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</row>
    <row r="956" ht="15.75" customHeight="1">
      <c r="A956" s="211"/>
      <c r="B956" s="211"/>
      <c r="C956" s="211"/>
      <c r="D956" s="211"/>
      <c r="E956" s="211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</row>
    <row r="957" ht="15.75" customHeight="1">
      <c r="A957" s="211"/>
      <c r="B957" s="211"/>
      <c r="C957" s="211"/>
      <c r="D957" s="211"/>
      <c r="E957" s="211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</row>
    <row r="958" ht="15.75" customHeight="1">
      <c r="A958" s="211"/>
      <c r="B958" s="211"/>
      <c r="C958" s="211"/>
      <c r="D958" s="211"/>
      <c r="E958" s="211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</row>
    <row r="959" ht="15.75" customHeight="1">
      <c r="A959" s="211"/>
      <c r="B959" s="211"/>
      <c r="C959" s="211"/>
      <c r="D959" s="211"/>
      <c r="E959" s="211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</row>
    <row r="960" ht="15.75" customHeight="1">
      <c r="A960" s="211"/>
      <c r="B960" s="211"/>
      <c r="C960" s="211"/>
      <c r="D960" s="211"/>
      <c r="E960" s="211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</row>
    <row r="961" ht="15.75" customHeight="1">
      <c r="A961" s="211"/>
      <c r="B961" s="211"/>
      <c r="C961" s="211"/>
      <c r="D961" s="211"/>
      <c r="E961" s="21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</row>
    <row r="962" ht="15.75" customHeight="1">
      <c r="A962" s="211"/>
      <c r="B962" s="211"/>
      <c r="C962" s="211"/>
      <c r="D962" s="211"/>
      <c r="E962" s="211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</row>
    <row r="963" ht="15.75" customHeight="1">
      <c r="A963" s="211"/>
      <c r="B963" s="211"/>
      <c r="C963" s="211"/>
      <c r="D963" s="211"/>
      <c r="E963" s="211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</row>
    <row r="964" ht="15.75" customHeight="1">
      <c r="A964" s="211"/>
      <c r="B964" s="211"/>
      <c r="C964" s="211"/>
      <c r="D964" s="211"/>
      <c r="E964" s="211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</row>
    <row r="965" ht="15.75" customHeight="1">
      <c r="A965" s="211"/>
      <c r="B965" s="211"/>
      <c r="C965" s="211"/>
      <c r="D965" s="211"/>
      <c r="E965" s="211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</row>
    <row r="966" ht="15.75" customHeight="1">
      <c r="A966" s="211"/>
      <c r="B966" s="211"/>
      <c r="C966" s="211"/>
      <c r="D966" s="211"/>
      <c r="E966" s="211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</row>
    <row r="967" ht="15.75" customHeight="1">
      <c r="A967" s="211"/>
      <c r="B967" s="211"/>
      <c r="C967" s="211"/>
      <c r="D967" s="211"/>
      <c r="E967" s="211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</row>
    <row r="968" ht="15.75" customHeight="1">
      <c r="A968" s="211"/>
      <c r="B968" s="211"/>
      <c r="C968" s="211"/>
      <c r="D968" s="211"/>
      <c r="E968" s="211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</row>
    <row r="969" ht="15.75" customHeight="1">
      <c r="A969" s="211"/>
      <c r="B969" s="211"/>
      <c r="C969" s="211"/>
      <c r="D969" s="211"/>
      <c r="E969" s="211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</row>
    <row r="970" ht="15.75" customHeight="1">
      <c r="A970" s="211"/>
      <c r="B970" s="211"/>
      <c r="C970" s="211"/>
      <c r="D970" s="211"/>
      <c r="E970" s="211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</row>
    <row r="971" ht="15.75" customHeight="1">
      <c r="A971" s="211"/>
      <c r="B971" s="211"/>
      <c r="C971" s="211"/>
      <c r="D971" s="211"/>
      <c r="E971" s="211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</row>
    <row r="972" ht="15.75" customHeight="1">
      <c r="A972" s="211"/>
      <c r="B972" s="211"/>
      <c r="C972" s="211"/>
      <c r="D972" s="211"/>
      <c r="E972" s="211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</row>
    <row r="973" ht="15.75" customHeight="1">
      <c r="A973" s="211"/>
      <c r="B973" s="211"/>
      <c r="C973" s="211"/>
      <c r="D973" s="211"/>
      <c r="E973" s="211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</row>
    <row r="974" ht="15.75" customHeight="1">
      <c r="A974" s="211"/>
      <c r="B974" s="211"/>
      <c r="C974" s="211"/>
      <c r="D974" s="211"/>
      <c r="E974" s="211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</row>
    <row r="975" ht="15.75" customHeight="1">
      <c r="A975" s="211"/>
      <c r="B975" s="211"/>
      <c r="C975" s="211"/>
      <c r="D975" s="211"/>
      <c r="E975" s="211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</row>
    <row r="976" ht="15.75" customHeight="1">
      <c r="A976" s="211"/>
      <c r="B976" s="211"/>
      <c r="C976" s="211"/>
      <c r="D976" s="211"/>
      <c r="E976" s="211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</row>
    <row r="977" ht="15.75" customHeight="1">
      <c r="A977" s="211"/>
      <c r="B977" s="211"/>
      <c r="C977" s="211"/>
      <c r="D977" s="211"/>
      <c r="E977" s="211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</row>
    <row r="978" ht="15.75" customHeight="1">
      <c r="A978" s="211"/>
      <c r="B978" s="211"/>
      <c r="C978" s="211"/>
      <c r="D978" s="211"/>
      <c r="E978" s="211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</row>
    <row r="979" ht="15.75" customHeight="1">
      <c r="A979" s="211"/>
      <c r="B979" s="211"/>
      <c r="C979" s="211"/>
      <c r="D979" s="211"/>
      <c r="E979" s="211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</row>
    <row r="980" ht="15.75" customHeight="1">
      <c r="A980" s="211"/>
      <c r="B980" s="211"/>
      <c r="C980" s="211"/>
      <c r="D980" s="211"/>
      <c r="E980" s="211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</row>
    <row r="981" ht="15.75" customHeight="1">
      <c r="A981" s="211"/>
      <c r="B981" s="211"/>
      <c r="C981" s="211"/>
      <c r="D981" s="211"/>
      <c r="E981" s="211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</row>
    <row r="982" ht="15.75" customHeight="1">
      <c r="A982" s="211"/>
      <c r="B982" s="211"/>
      <c r="C982" s="211"/>
      <c r="D982" s="211"/>
      <c r="E982" s="211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</row>
    <row r="983" ht="15.75" customHeight="1">
      <c r="A983" s="211"/>
      <c r="B983" s="211"/>
      <c r="C983" s="211"/>
      <c r="D983" s="211"/>
      <c r="E983" s="211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</row>
    <row r="984" ht="15.75" customHeight="1">
      <c r="A984" s="211"/>
      <c r="B984" s="211"/>
      <c r="C984" s="211"/>
      <c r="D984" s="211"/>
      <c r="E984" s="211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</row>
    <row r="985" ht="15.75" customHeight="1">
      <c r="A985" s="211"/>
      <c r="B985" s="211"/>
      <c r="C985" s="211"/>
      <c r="D985" s="211"/>
      <c r="E985" s="211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</row>
    <row r="986" ht="15.75" customHeight="1">
      <c r="A986" s="211"/>
      <c r="B986" s="211"/>
      <c r="C986" s="211"/>
      <c r="D986" s="211"/>
      <c r="E986" s="211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</row>
    <row r="987" ht="15.75" customHeight="1">
      <c r="A987" s="211"/>
      <c r="B987" s="211"/>
      <c r="C987" s="211"/>
      <c r="D987" s="211"/>
      <c r="E987" s="211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1"/>
      <c r="X987" s="211"/>
      <c r="Y987" s="211"/>
      <c r="Z987" s="211"/>
    </row>
    <row r="988" ht="15.75" customHeight="1">
      <c r="A988" s="211"/>
      <c r="B988" s="211"/>
      <c r="C988" s="211"/>
      <c r="D988" s="211"/>
      <c r="E988" s="211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1"/>
      <c r="X988" s="211"/>
      <c r="Y988" s="211"/>
      <c r="Z988" s="211"/>
    </row>
    <row r="989" ht="15.75" customHeight="1">
      <c r="A989" s="211"/>
      <c r="B989" s="211"/>
      <c r="C989" s="211"/>
      <c r="D989" s="211"/>
      <c r="E989" s="21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1"/>
      <c r="X989" s="211"/>
      <c r="Y989" s="211"/>
      <c r="Z989" s="211"/>
    </row>
    <row r="990" ht="15.75" customHeight="1">
      <c r="A990" s="211"/>
      <c r="B990" s="211"/>
      <c r="C990" s="211"/>
      <c r="D990" s="211"/>
      <c r="E990" s="211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1"/>
      <c r="X990" s="211"/>
      <c r="Y990" s="211"/>
      <c r="Z990" s="211"/>
    </row>
    <row r="991" ht="15.75" customHeight="1">
      <c r="A991" s="211"/>
      <c r="B991" s="211"/>
      <c r="C991" s="211"/>
      <c r="D991" s="211"/>
      <c r="E991" s="211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1"/>
      <c r="X991" s="211"/>
      <c r="Y991" s="211"/>
      <c r="Z991" s="211"/>
    </row>
    <row r="992" ht="15.75" customHeight="1">
      <c r="A992" s="211"/>
      <c r="B992" s="211"/>
      <c r="C992" s="211"/>
      <c r="D992" s="211"/>
      <c r="E992" s="211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1"/>
      <c r="X992" s="211"/>
      <c r="Y992" s="211"/>
      <c r="Z992" s="211"/>
    </row>
    <row r="993" ht="15.75" customHeight="1">
      <c r="A993" s="211"/>
      <c r="B993" s="211"/>
      <c r="C993" s="211"/>
      <c r="D993" s="211"/>
      <c r="E993" s="211"/>
      <c r="F993" s="211"/>
      <c r="G993" s="211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1"/>
      <c r="X993" s="211"/>
      <c r="Y993" s="211"/>
      <c r="Z993" s="211"/>
    </row>
    <row r="994" ht="15.75" customHeight="1">
      <c r="A994" s="211"/>
      <c r="B994" s="211"/>
      <c r="C994" s="211"/>
      <c r="D994" s="211"/>
      <c r="E994" s="211"/>
      <c r="F994" s="211"/>
      <c r="G994" s="211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1"/>
      <c r="X994" s="211"/>
      <c r="Y994" s="211"/>
      <c r="Z994" s="211"/>
    </row>
    <row r="995" ht="15.75" customHeight="1">
      <c r="A995" s="211"/>
      <c r="B995" s="211"/>
      <c r="C995" s="211"/>
      <c r="D995" s="211"/>
      <c r="E995" s="211"/>
      <c r="F995" s="211"/>
      <c r="G995" s="211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1"/>
      <c r="X995" s="211"/>
      <c r="Y995" s="211"/>
      <c r="Z995" s="211"/>
    </row>
    <row r="996" ht="15.75" customHeight="1">
      <c r="A996" s="211"/>
      <c r="B996" s="211"/>
      <c r="C996" s="211"/>
      <c r="D996" s="211"/>
      <c r="E996" s="211"/>
      <c r="F996" s="211"/>
      <c r="G996" s="211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1"/>
      <c r="X996" s="211"/>
      <c r="Y996" s="211"/>
      <c r="Z996" s="211"/>
    </row>
    <row r="997" ht="15.75" customHeight="1">
      <c r="A997" s="211"/>
      <c r="B997" s="211"/>
      <c r="C997" s="211"/>
      <c r="D997" s="211"/>
      <c r="E997" s="211"/>
      <c r="F997" s="211"/>
      <c r="G997" s="211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1"/>
      <c r="X997" s="211"/>
      <c r="Y997" s="211"/>
      <c r="Z997" s="211"/>
    </row>
    <row r="998" ht="15.75" customHeight="1">
      <c r="A998" s="211"/>
      <c r="B998" s="211"/>
      <c r="C998" s="211"/>
      <c r="D998" s="211"/>
      <c r="E998" s="211"/>
      <c r="F998" s="211"/>
      <c r="G998" s="211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1"/>
      <c r="X998" s="211"/>
      <c r="Y998" s="211"/>
      <c r="Z998" s="211"/>
    </row>
    <row r="999" ht="15.75" customHeight="1">
      <c r="A999" s="211"/>
      <c r="B999" s="211"/>
      <c r="C999" s="211"/>
      <c r="D999" s="211"/>
      <c r="E999" s="211"/>
      <c r="F999" s="211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1"/>
      <c r="X999" s="211"/>
      <c r="Y999" s="211"/>
      <c r="Z999" s="211"/>
    </row>
    <row r="1000" ht="15.75" customHeight="1">
      <c r="A1000" s="211"/>
      <c r="B1000" s="211"/>
      <c r="C1000" s="211"/>
      <c r="D1000" s="211"/>
      <c r="E1000" s="211"/>
      <c r="F1000" s="211"/>
      <c r="G1000" s="211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1"/>
      <c r="X1000" s="211"/>
      <c r="Y1000" s="211"/>
      <c r="Z1000" s="21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12" width="15.57"/>
    <col customWidth="1" min="13" max="26" width="10.14"/>
  </cols>
  <sheetData>
    <row r="1">
      <c r="A1" s="107"/>
      <c r="B1" s="235">
        <f>'Revenue breakdown'!B2</f>
        <v>2019</v>
      </c>
      <c r="C1" s="235">
        <f>'Revenue breakdown'!C2</f>
        <v>2020</v>
      </c>
      <c r="D1" s="235">
        <f>'Revenue breakdown'!D2</f>
        <v>2021</v>
      </c>
      <c r="E1" s="235">
        <f>'Revenue breakdown'!E2</f>
        <v>2022</v>
      </c>
      <c r="F1" s="235">
        <f>'Revenue breakdown'!F2</f>
        <v>2023</v>
      </c>
      <c r="G1" s="236" t="str">
        <f>'Revenue breakdown'!G2</f>
        <v>2024F</v>
      </c>
      <c r="H1" s="236" t="str">
        <f>'Revenue breakdown'!H2</f>
        <v>2025F</v>
      </c>
      <c r="I1" s="236" t="str">
        <f>'Revenue breakdown'!I2</f>
        <v>2026F</v>
      </c>
      <c r="J1" s="236" t="str">
        <f>'Revenue breakdown'!J2</f>
        <v>2027F</v>
      </c>
      <c r="K1" s="236" t="str">
        <f>'Revenue breakdown'!K2</f>
        <v>2028F</v>
      </c>
      <c r="L1" s="236" t="str">
        <f>'Revenue breakdown'!L2</f>
        <v>2029F</v>
      </c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107" t="s">
        <v>839</v>
      </c>
      <c r="B2" s="237">
        <f>'Revenue breakdown'!B9</f>
        <v>10835592.24</v>
      </c>
      <c r="C2" s="237">
        <f>'Revenue breakdown'!C9</f>
        <v>12002877</v>
      </c>
      <c r="D2" s="237">
        <f>'Revenue breakdown'!D9</f>
        <v>14540759</v>
      </c>
      <c r="E2" s="237">
        <f>'Revenue breakdown'!E9</f>
        <v>19177406</v>
      </c>
      <c r="F2" s="237">
        <f>'Revenue breakdown'!F9</f>
        <v>24740498.8</v>
      </c>
      <c r="G2" s="237">
        <f>'Revenue breakdown'!G9</f>
        <v>29316477.33</v>
      </c>
      <c r="H2" s="237">
        <f>'Revenue breakdown'!H9</f>
        <v>36176533.03</v>
      </c>
      <c r="I2" s="237">
        <f>'Revenue breakdown'!I9</f>
        <v>44573106.35</v>
      </c>
      <c r="J2" s="237">
        <f>'Revenue breakdown'!J9</f>
        <v>54428220.16</v>
      </c>
      <c r="K2" s="237">
        <f>'Revenue breakdown'!K9</f>
        <v>66456856.81</v>
      </c>
      <c r="L2" s="237">
        <f>'Revenue breakdown'!L9</f>
        <v>80924514.54</v>
      </c>
      <c r="M2" s="110">
        <f>(L2/B2)^(1/(COUNT(B2:L2)))-1</f>
        <v>0.2005612275</v>
      </c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107" t="s">
        <v>840</v>
      </c>
      <c r="B3" s="238">
        <f>'Revenue breakdown'!B12</f>
        <v>4935358</v>
      </c>
      <c r="C3" s="238">
        <f>'Revenue breakdown'!C12</f>
        <v>4802123</v>
      </c>
      <c r="D3" s="238">
        <f>'Revenue breakdown'!D12</f>
        <v>6195504</v>
      </c>
      <c r="E3" s="238">
        <f>'Revenue breakdown'!E12</f>
        <v>6585594</v>
      </c>
      <c r="F3" s="238">
        <f>'Revenue breakdown'!F12</f>
        <v>6725006</v>
      </c>
      <c r="G3" s="238">
        <f>'Revenue breakdown'!G12</f>
        <v>7968856</v>
      </c>
      <c r="H3" s="238">
        <f>'Revenue breakdown'!H12</f>
        <v>10144353.69</v>
      </c>
      <c r="I3" s="238">
        <f>'Revenue breakdown'!I12</f>
        <v>12895502.41</v>
      </c>
      <c r="J3" s="238">
        <f>'Revenue breakdown'!J12</f>
        <v>16250912.13</v>
      </c>
      <c r="K3" s="238">
        <f>'Revenue breakdown'!K12</f>
        <v>20476149.29</v>
      </c>
      <c r="L3" s="238">
        <f>'Revenue breakdown'!L12</f>
        <v>25734424.43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107" t="s">
        <v>658</v>
      </c>
      <c r="B4" s="238">
        <f>'Revenue breakdown'!B19</f>
        <v>9789860</v>
      </c>
      <c r="C4" s="238">
        <f>'Revenue breakdown'!C19</f>
        <v>10867200</v>
      </c>
      <c r="D4" s="238">
        <f>'Revenue breakdown'!D19</f>
        <v>12079000</v>
      </c>
      <c r="E4" s="238">
        <f>'Revenue breakdown'!E19</f>
        <v>13954105.37</v>
      </c>
      <c r="F4" s="238">
        <f>'Revenue breakdown'!F19</f>
        <v>15185852</v>
      </c>
      <c r="G4" s="238">
        <f>'Revenue breakdown'!G19</f>
        <v>16426666.67</v>
      </c>
      <c r="H4" s="238">
        <f>'Revenue breakdown'!H19</f>
        <v>18054411.67</v>
      </c>
      <c r="I4" s="238">
        <f>'Revenue breakdown'!I19</f>
        <v>19810488.52</v>
      </c>
      <c r="J4" s="238">
        <f>'Revenue breakdown'!J19</f>
        <v>21690341.29</v>
      </c>
      <c r="K4" s="238">
        <f>'Revenue breakdown'!K19</f>
        <v>23530426</v>
      </c>
      <c r="L4" s="238">
        <f>'Revenue breakdown'!L19</f>
        <v>25513134.06</v>
      </c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>
      <c r="A5" s="107" t="s">
        <v>661</v>
      </c>
      <c r="B5" s="238">
        <f>'Revenue breakdown'!B22</f>
        <v>604000</v>
      </c>
      <c r="C5" s="238">
        <f>'Revenue breakdown'!C22</f>
        <v>599201</v>
      </c>
      <c r="D5" s="238">
        <f>'Revenue breakdown'!D22</f>
        <v>607000</v>
      </c>
      <c r="E5" s="238">
        <f>'Revenue breakdown'!E22</f>
        <v>775422.6301</v>
      </c>
      <c r="F5" s="238">
        <f>'Revenue breakdown'!F22</f>
        <v>599518.3</v>
      </c>
      <c r="G5" s="238">
        <f>'Revenue breakdown'!G22</f>
        <v>640000</v>
      </c>
      <c r="H5" s="238">
        <f>'Revenue breakdown'!H22</f>
        <v>640985.6</v>
      </c>
      <c r="I5" s="238">
        <f>'Revenue breakdown'!I22</f>
        <v>641972.7178</v>
      </c>
      <c r="J5" s="238">
        <f>'Revenue breakdown'!J22</f>
        <v>642961.3558</v>
      </c>
      <c r="K5" s="238">
        <f>'Revenue breakdown'!K22</f>
        <v>643951.5163</v>
      </c>
      <c r="L5" s="238">
        <f>'Revenue breakdown'!L22</f>
        <v>644943.2016</v>
      </c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A6" s="107" t="s">
        <v>841</v>
      </c>
      <c r="B6" s="238">
        <f>'Revenue breakdown'!B26</f>
        <v>1552149.76</v>
      </c>
      <c r="C6" s="238">
        <f>'Revenue breakdown'!C26</f>
        <v>1559000</v>
      </c>
      <c r="D6" s="238">
        <f>'Revenue breakdown'!D26</f>
        <v>2235000</v>
      </c>
      <c r="E6" s="238">
        <f>'Revenue breakdown'!E26</f>
        <v>3517000</v>
      </c>
      <c r="F6" s="238">
        <f>'Revenue breakdown'!F26</f>
        <v>5367025.902</v>
      </c>
      <c r="G6" s="238">
        <f>'Revenue breakdown'!G26</f>
        <v>5969333.333</v>
      </c>
      <c r="H6" s="238">
        <f>'Revenue breakdown'!H26</f>
        <v>8218211.181</v>
      </c>
      <c r="I6" s="238">
        <f>'Revenue breakdown'!I26</f>
        <v>10059090.49</v>
      </c>
      <c r="J6" s="238">
        <f>'Revenue breakdown'!J26</f>
        <v>12312326.75</v>
      </c>
      <c r="K6" s="238">
        <f>'Revenue breakdown'!K26</f>
        <v>15070287.95</v>
      </c>
      <c r="L6" s="238">
        <f>'Revenue breakdown'!L26</f>
        <v>18446032.45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239" t="s">
        <v>677</v>
      </c>
      <c r="B7" s="240">
        <f>SUM(B2:B6)-'Revenue breakdown'!B3</f>
        <v>0</v>
      </c>
      <c r="C7" s="240">
        <f>SUM(C2:C6)-'Revenue breakdown'!C3</f>
        <v>0</v>
      </c>
      <c r="D7" s="240">
        <f>SUM(D2:D6)-'Revenue breakdown'!D3</f>
        <v>0</v>
      </c>
      <c r="E7" s="240">
        <f>SUM(E2:E6)-'Revenue breakdown'!E3</f>
        <v>0</v>
      </c>
      <c r="F7" s="240">
        <f>SUM(F2:F6)-'Revenue breakdown'!F3</f>
        <v>0</v>
      </c>
      <c r="G7" s="240">
        <f>SUM(G2:G6)-'Revenue breakdown'!G3</f>
        <v>0</v>
      </c>
      <c r="H7" s="240">
        <f>SUM(H2:H6)-'Revenue breakdown'!H3</f>
        <v>0</v>
      </c>
      <c r="I7" s="240">
        <f>SUM(I2:I6)-'Revenue breakdown'!I3</f>
        <v>0</v>
      </c>
      <c r="J7" s="240">
        <f>SUM(J2:J6)-'Revenue breakdown'!J3</f>
        <v>0</v>
      </c>
      <c r="K7" s="240">
        <f>SUM(K2:K6)-'Revenue breakdown'!K3</f>
        <v>0</v>
      </c>
      <c r="L7" s="240">
        <f>SUM(L2:L6)-'Revenue breakdown'!L3</f>
        <v>0</v>
      </c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>
      <c r="A8" s="94"/>
      <c r="B8" s="241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>
      <c r="A9" s="94"/>
      <c r="B9" s="241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>
      <c r="A10" s="94"/>
      <c r="B10" s="241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>
      <c r="A11" s="94"/>
      <c r="B11" s="241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>
      <c r="A12" s="94"/>
      <c r="B12" s="241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>
      <c r="A13" s="94"/>
      <c r="B13" s="241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>
      <c r="A14" s="94"/>
      <c r="B14" s="241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94"/>
      <c r="B15" s="241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>
      <c r="A16" s="94"/>
      <c r="B16" s="241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>
      <c r="A17" s="94"/>
      <c r="B17" s="241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>
      <c r="A18" s="94"/>
      <c r="B18" s="241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>
      <c r="A19" s="94"/>
      <c r="B19" s="241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>
      <c r="A20" s="94"/>
      <c r="B20" s="241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5.75" customHeight="1">
      <c r="A21" s="94"/>
      <c r="B21" s="241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5.75" customHeight="1">
      <c r="A22" s="94"/>
      <c r="B22" s="241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5.75" customHeight="1">
      <c r="A23" s="94"/>
      <c r="B23" s="241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5.75" customHeight="1">
      <c r="A24" s="94"/>
      <c r="B24" s="241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5.75" customHeight="1">
      <c r="A25" s="94"/>
      <c r="B25" s="241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5.75" customHeight="1">
      <c r="A26" s="94"/>
      <c r="B26" s="241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5.75" customHeight="1">
      <c r="A27" s="94"/>
      <c r="B27" s="241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5.75" customHeight="1">
      <c r="A28" s="94"/>
      <c r="B28" s="241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5.75" customHeight="1">
      <c r="A29" s="94"/>
      <c r="B29" s="241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5.75" customHeight="1">
      <c r="A30" s="94"/>
      <c r="B30" s="241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5.75" customHeight="1">
      <c r="A31" s="94"/>
      <c r="B31" s="241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5.75" customHeight="1">
      <c r="A32" s="94"/>
      <c r="B32" s="241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5.75" customHeight="1">
      <c r="A33" s="94"/>
      <c r="B33" s="241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5.75" customHeight="1">
      <c r="A34" s="94"/>
      <c r="B34" s="241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5.75" customHeight="1">
      <c r="A35" s="94"/>
      <c r="B35" s="241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5.75" customHeight="1">
      <c r="A36" s="94"/>
      <c r="B36" s="241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5.75" customHeight="1">
      <c r="A37" s="94"/>
      <c r="B37" s="241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5.75" customHeight="1">
      <c r="A38" s="94"/>
      <c r="B38" s="241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5.75" customHeight="1">
      <c r="A39" s="94"/>
      <c r="B39" s="241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5.75" customHeight="1">
      <c r="A40" s="94"/>
      <c r="B40" s="241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5.75" customHeight="1">
      <c r="A41" s="94"/>
      <c r="B41" s="241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5.75" customHeight="1">
      <c r="A42" s="94"/>
      <c r="B42" s="241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5.75" customHeight="1">
      <c r="A43" s="94"/>
      <c r="B43" s="241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5.75" customHeight="1">
      <c r="A44" s="94"/>
      <c r="B44" s="241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5.75" customHeight="1">
      <c r="A45" s="94"/>
      <c r="B45" s="241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5.75" customHeight="1">
      <c r="A46" s="242" t="s">
        <v>664</v>
      </c>
      <c r="B46" s="238">
        <v>39833.0</v>
      </c>
      <c r="C46" s="243">
        <v>52005.0</v>
      </c>
      <c r="D46" s="243">
        <v>74313.0</v>
      </c>
      <c r="E46" s="243">
        <v>108100.0</v>
      </c>
      <c r="F46" s="242">
        <v>145000.0</v>
      </c>
      <c r="G46" s="242">
        <v>174000.0</v>
      </c>
      <c r="H46" s="242">
        <v>208800.0</v>
      </c>
      <c r="I46" s="242">
        <v>250560.0</v>
      </c>
      <c r="J46" s="242">
        <v>300672.0</v>
      </c>
      <c r="K46" s="242">
        <v>360806.39999999997</v>
      </c>
      <c r="L46" s="242">
        <v>432967.67999999993</v>
      </c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5.75" customHeight="1">
      <c r="A47" s="242" t="s">
        <v>842</v>
      </c>
      <c r="B47" s="238">
        <f>'Revenue breakdown'!B31/10^3</f>
        <v>38966.42884</v>
      </c>
      <c r="C47" s="238">
        <f>'Revenue breakdown'!C31/10^3</f>
        <v>29977.88674</v>
      </c>
      <c r="D47" s="238">
        <f>'Revenue breakdown'!D31/10^3</f>
        <v>30075.4915</v>
      </c>
      <c r="E47" s="238">
        <f>'Revenue breakdown'!E31/10^3</f>
        <v>32534.6901</v>
      </c>
      <c r="F47" s="238">
        <f>'Revenue breakdown'!F31/10^3</f>
        <v>37013.97174</v>
      </c>
      <c r="G47" s="238">
        <f>'Revenue breakdown'!G31/10^3</f>
        <v>38587.49897</v>
      </c>
      <c r="H47" s="238">
        <f>'Revenue breakdown'!H31/10^3</f>
        <v>39359.24895</v>
      </c>
      <c r="I47" s="238">
        <f>'Revenue breakdown'!I31/10^3</f>
        <v>40146.43393</v>
      </c>
      <c r="J47" s="238">
        <f>'Revenue breakdown'!J31/10^3</f>
        <v>40949.36261</v>
      </c>
      <c r="K47" s="238">
        <f>'Revenue breakdown'!K31/10^3</f>
        <v>41768.34986</v>
      </c>
      <c r="L47" s="238">
        <f>'Revenue breakdown'!L31/10^3</f>
        <v>42603.71686</v>
      </c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5.75" customHeight="1">
      <c r="A48" s="242" t="s">
        <v>843</v>
      </c>
      <c r="B48" s="238"/>
      <c r="C48" s="233">
        <v>0.30557577887681076</v>
      </c>
      <c r="D48" s="233">
        <v>0.4289587539659647</v>
      </c>
      <c r="E48" s="233">
        <v>0.4546580006190033</v>
      </c>
      <c r="F48" s="233">
        <v>0.3413506012950971</v>
      </c>
      <c r="G48" s="233">
        <v>0.2</v>
      </c>
      <c r="H48" s="233">
        <v>0.2</v>
      </c>
      <c r="I48" s="233">
        <v>0.2</v>
      </c>
      <c r="J48" s="233">
        <v>0.2</v>
      </c>
      <c r="K48" s="233">
        <v>0.2</v>
      </c>
      <c r="L48" s="233">
        <v>0.2</v>
      </c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5.75" customHeight="1">
      <c r="A49" s="242" t="s">
        <v>844</v>
      </c>
      <c r="B49" s="244"/>
      <c r="C49" s="233">
        <v>-0.23067400237170332</v>
      </c>
      <c r="D49" s="233">
        <v>0.0032558919626810567</v>
      </c>
      <c r="E49" s="233">
        <v>0.08176752820219901</v>
      </c>
      <c r="F49" s="233">
        <v>0.1376770954991029</v>
      </c>
      <c r="G49" s="233">
        <v>0.042511710082440035</v>
      </c>
      <c r="H49" s="233">
        <v>0.02</v>
      </c>
      <c r="I49" s="233">
        <v>0.02</v>
      </c>
      <c r="J49" s="233">
        <v>0.02</v>
      </c>
      <c r="K49" s="233">
        <v>0.02</v>
      </c>
      <c r="L49" s="233">
        <v>0.02</v>
      </c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5.75" customHeight="1">
      <c r="A50" s="94"/>
      <c r="B50" s="241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5.75" customHeight="1">
      <c r="A51" s="94"/>
      <c r="B51" s="241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5.75" customHeight="1">
      <c r="A52" s="94"/>
      <c r="B52" s="241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5.75" customHeight="1">
      <c r="A53" s="94"/>
      <c r="B53" s="241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5.75" customHeight="1">
      <c r="A54" s="94"/>
      <c r="B54" s="241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5.75" customHeight="1">
      <c r="A55" s="94"/>
      <c r="B55" s="241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5.75" customHeight="1">
      <c r="A56" s="94"/>
      <c r="B56" s="241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5.75" customHeight="1">
      <c r="A57" s="94"/>
      <c r="B57" s="241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5.75" customHeight="1">
      <c r="A58" s="94"/>
      <c r="B58" s="241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5.75" customHeight="1">
      <c r="A59" s="94"/>
      <c r="B59" s="241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5.75" customHeight="1">
      <c r="A60" s="94"/>
      <c r="B60" s="241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5.75" customHeight="1">
      <c r="A61" s="94"/>
      <c r="B61" s="241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5.75" customHeight="1">
      <c r="A62" s="94"/>
      <c r="B62" s="241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5.75" customHeight="1">
      <c r="A63" s="94"/>
      <c r="B63" s="241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5.75" customHeight="1">
      <c r="A64" s="94"/>
      <c r="B64" s="241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5.75" customHeight="1">
      <c r="A65" s="94"/>
      <c r="B65" s="241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5.75" customHeight="1">
      <c r="A66" s="94"/>
      <c r="B66" s="241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5.75" customHeight="1">
      <c r="A67" s="94"/>
      <c r="B67" s="241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5.75" customHeight="1">
      <c r="A68" s="94"/>
      <c r="B68" s="241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5.75" customHeight="1">
      <c r="A69" s="94"/>
      <c r="B69" s="241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5.75" customHeight="1">
      <c r="A70" s="94"/>
      <c r="B70" s="241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5.75" customHeight="1">
      <c r="A71" s="94"/>
      <c r="B71" s="241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5.75" customHeight="1">
      <c r="A72" s="94"/>
      <c r="B72" s="241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5.75" customHeight="1">
      <c r="A73" s="94"/>
      <c r="B73" s="241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5.75" customHeight="1">
      <c r="A74" s="94"/>
      <c r="B74" s="241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5.75" customHeight="1">
      <c r="A75" s="94"/>
      <c r="B75" s="241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5.75" customHeight="1">
      <c r="A76" s="94"/>
      <c r="B76" s="241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5.75" customHeight="1">
      <c r="A77" s="94"/>
      <c r="B77" s="241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5.75" customHeight="1">
      <c r="A78" s="94"/>
      <c r="B78" s="241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5.75" customHeight="1">
      <c r="A79" s="94"/>
      <c r="B79" s="241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5.75" customHeight="1">
      <c r="A80" s="94"/>
      <c r="B80" s="241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5.75" customHeight="1">
      <c r="A81" s="94"/>
      <c r="B81" s="241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5.75" customHeight="1">
      <c r="A82" s="94"/>
      <c r="B82" s="241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5.75" customHeight="1">
      <c r="A83" s="94"/>
      <c r="B83" s="241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5.75" customHeight="1">
      <c r="A84" s="94"/>
      <c r="B84" s="241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5.75" customHeight="1">
      <c r="A85" s="94"/>
      <c r="B85" s="241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5.75" customHeight="1">
      <c r="A86" s="94"/>
      <c r="B86" s="241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5.75" customHeight="1">
      <c r="A87" s="94"/>
      <c r="B87" s="241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5.75" customHeight="1">
      <c r="A88" s="94"/>
      <c r="B88" s="241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5.75" customHeight="1">
      <c r="A89" s="94"/>
      <c r="B89" s="241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5.75" customHeight="1">
      <c r="A90" s="94"/>
      <c r="B90" s="241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5.75" customHeight="1">
      <c r="A91" s="94"/>
      <c r="B91" s="241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5.75" customHeight="1">
      <c r="A92" s="94"/>
      <c r="B92" s="241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5.75" customHeight="1">
      <c r="A93" s="94"/>
      <c r="B93" s="241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5.75" customHeight="1">
      <c r="A94" s="94"/>
      <c r="B94" s="241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5.75" customHeight="1">
      <c r="A95" s="94"/>
      <c r="B95" s="241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5.75" customHeight="1">
      <c r="A96" s="94"/>
      <c r="B96" s="241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5.75" customHeight="1">
      <c r="A97" s="94"/>
      <c r="B97" s="241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5.75" customHeight="1">
      <c r="A98" s="94"/>
      <c r="B98" s="241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5.75" customHeight="1">
      <c r="A99" s="94"/>
      <c r="B99" s="241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5.75" customHeight="1">
      <c r="A100" s="94"/>
      <c r="B100" s="241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5.75" customHeight="1">
      <c r="A101" s="94"/>
      <c r="B101" s="241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5.75" customHeight="1">
      <c r="A102" s="94"/>
      <c r="B102" s="241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5.75" customHeight="1">
      <c r="A103" s="94"/>
      <c r="B103" s="241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5.75" customHeight="1">
      <c r="A104" s="94"/>
      <c r="B104" s="24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5.75" customHeight="1">
      <c r="A105" s="94"/>
      <c r="B105" s="24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5.75" customHeight="1">
      <c r="A106" s="94"/>
      <c r="B106" s="241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5.75" customHeight="1">
      <c r="A107" s="94"/>
      <c r="B107" s="241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5.75" customHeight="1">
      <c r="A108" s="94"/>
      <c r="B108" s="241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5.75" customHeight="1">
      <c r="A109" s="94"/>
      <c r="B109" s="241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5.75" customHeight="1">
      <c r="A110" s="94"/>
      <c r="B110" s="241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5.75" customHeight="1">
      <c r="A111" s="94"/>
      <c r="B111" s="241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5.75" customHeight="1">
      <c r="A112" s="94"/>
      <c r="B112" s="241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5.75" customHeight="1">
      <c r="A113" s="94"/>
      <c r="B113" s="241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5.75" customHeight="1">
      <c r="A114" s="94"/>
      <c r="B114" s="241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5.75" customHeight="1">
      <c r="A115" s="94"/>
      <c r="B115" s="241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5.75" customHeight="1">
      <c r="A116" s="94"/>
      <c r="B116" s="241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5.75" customHeight="1">
      <c r="A117" s="94"/>
      <c r="B117" s="241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5.75" customHeight="1">
      <c r="A118" s="94"/>
      <c r="B118" s="241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5.75" customHeight="1">
      <c r="A119" s="94"/>
      <c r="B119" s="241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5.75" customHeight="1">
      <c r="A120" s="94"/>
      <c r="B120" s="241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5.75" customHeight="1">
      <c r="A121" s="94"/>
      <c r="B121" s="241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5.75" customHeight="1">
      <c r="A122" s="94"/>
      <c r="B122" s="241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5.75" customHeight="1">
      <c r="A123" s="94"/>
      <c r="B123" s="241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5.75" customHeight="1">
      <c r="A124" s="94"/>
      <c r="B124" s="241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5.75" customHeight="1">
      <c r="A125" s="94"/>
      <c r="B125" s="241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5.75" customHeight="1">
      <c r="A126" s="94"/>
      <c r="B126" s="241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5.75" customHeight="1">
      <c r="A127" s="94"/>
      <c r="B127" s="241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5.75" customHeight="1">
      <c r="A128" s="94"/>
      <c r="B128" s="241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5.75" customHeight="1">
      <c r="A129" s="94"/>
      <c r="B129" s="241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5.75" customHeight="1">
      <c r="A130" s="94"/>
      <c r="B130" s="241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5.75" customHeight="1">
      <c r="A131" s="94"/>
      <c r="B131" s="241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5.75" customHeight="1">
      <c r="A132" s="94"/>
      <c r="B132" s="241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5.75" customHeight="1">
      <c r="A133" s="94"/>
      <c r="B133" s="241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5.75" customHeight="1">
      <c r="A134" s="94"/>
      <c r="B134" s="241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5.75" customHeight="1">
      <c r="A135" s="94"/>
      <c r="B135" s="241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5.75" customHeight="1">
      <c r="A136" s="94"/>
      <c r="B136" s="241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5.75" customHeight="1">
      <c r="A137" s="94"/>
      <c r="B137" s="241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5.75" customHeight="1">
      <c r="A138" s="94"/>
      <c r="B138" s="241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5.75" customHeight="1">
      <c r="A139" s="94"/>
      <c r="B139" s="241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5.75" customHeight="1">
      <c r="A140" s="94"/>
      <c r="B140" s="241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5.75" customHeight="1">
      <c r="A141" s="94"/>
      <c r="B141" s="241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5.75" customHeight="1">
      <c r="A142" s="94"/>
      <c r="B142" s="241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5.75" customHeight="1">
      <c r="A143" s="94"/>
      <c r="B143" s="241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5.75" customHeight="1">
      <c r="A144" s="94"/>
      <c r="B144" s="241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5.75" customHeight="1">
      <c r="A145" s="94"/>
      <c r="B145" s="241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5.75" customHeight="1">
      <c r="A146" s="94"/>
      <c r="B146" s="241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5.75" customHeight="1">
      <c r="A147" s="94"/>
      <c r="B147" s="241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5.75" customHeight="1">
      <c r="A148" s="94"/>
      <c r="B148" s="241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5.75" customHeight="1">
      <c r="A149" s="94"/>
      <c r="B149" s="241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5.75" customHeight="1">
      <c r="A150" s="94"/>
      <c r="B150" s="241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5.75" customHeight="1">
      <c r="A151" s="94"/>
      <c r="B151" s="241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5.75" customHeight="1">
      <c r="A152" s="94"/>
      <c r="B152" s="241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5.75" customHeight="1">
      <c r="A153" s="94"/>
      <c r="B153" s="241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5.75" customHeight="1">
      <c r="A154" s="94"/>
      <c r="B154" s="241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5.75" customHeight="1">
      <c r="A155" s="94"/>
      <c r="B155" s="241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5.75" customHeight="1">
      <c r="A156" s="94"/>
      <c r="B156" s="241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5.75" customHeight="1">
      <c r="A157" s="94"/>
      <c r="B157" s="241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5.75" customHeight="1">
      <c r="A158" s="94"/>
      <c r="B158" s="241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5.75" customHeight="1">
      <c r="A159" s="94"/>
      <c r="B159" s="241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5.75" customHeight="1">
      <c r="A160" s="94"/>
      <c r="B160" s="241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5.75" customHeight="1">
      <c r="A161" s="94"/>
      <c r="B161" s="241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5.75" customHeight="1">
      <c r="A162" s="94"/>
      <c r="B162" s="241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5.75" customHeight="1">
      <c r="A163" s="94"/>
      <c r="B163" s="241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5.75" customHeight="1">
      <c r="A164" s="94"/>
      <c r="B164" s="241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5.75" customHeight="1">
      <c r="A165" s="94"/>
      <c r="B165" s="241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5.75" customHeight="1">
      <c r="A166" s="94"/>
      <c r="B166" s="241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5.75" customHeight="1">
      <c r="A167" s="94"/>
      <c r="B167" s="241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5.75" customHeight="1">
      <c r="A168" s="94"/>
      <c r="B168" s="241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5.75" customHeight="1">
      <c r="A169" s="94"/>
      <c r="B169" s="241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5.75" customHeight="1">
      <c r="A170" s="94"/>
      <c r="B170" s="241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5.75" customHeight="1">
      <c r="A171" s="94"/>
      <c r="B171" s="241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5.75" customHeight="1">
      <c r="A172" s="94"/>
      <c r="B172" s="241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5.75" customHeight="1">
      <c r="A173" s="94"/>
      <c r="B173" s="241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5.75" customHeight="1">
      <c r="A174" s="94"/>
      <c r="B174" s="241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5.75" customHeight="1">
      <c r="A175" s="94"/>
      <c r="B175" s="241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5.75" customHeight="1">
      <c r="A176" s="94"/>
      <c r="B176" s="241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5.75" customHeight="1">
      <c r="A177" s="94"/>
      <c r="B177" s="241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5.75" customHeight="1">
      <c r="A178" s="94"/>
      <c r="B178" s="241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5.75" customHeight="1">
      <c r="A179" s="94"/>
      <c r="B179" s="241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5.75" customHeight="1">
      <c r="A180" s="94"/>
      <c r="B180" s="241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5.75" customHeight="1">
      <c r="A181" s="94"/>
      <c r="B181" s="241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5.75" customHeight="1">
      <c r="A182" s="94"/>
      <c r="B182" s="241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5.75" customHeight="1">
      <c r="A183" s="94"/>
      <c r="B183" s="241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5.75" customHeight="1">
      <c r="A184" s="94"/>
      <c r="B184" s="241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5.75" customHeight="1">
      <c r="A185" s="94"/>
      <c r="B185" s="241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5.75" customHeight="1">
      <c r="A186" s="94"/>
      <c r="B186" s="241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5.75" customHeight="1">
      <c r="A187" s="94"/>
      <c r="B187" s="241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5.75" customHeight="1">
      <c r="A188" s="94"/>
      <c r="B188" s="241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5.75" customHeight="1">
      <c r="A189" s="94"/>
      <c r="B189" s="241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5.75" customHeight="1">
      <c r="A190" s="94"/>
      <c r="B190" s="241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5.75" customHeight="1">
      <c r="A191" s="94"/>
      <c r="B191" s="241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5.75" customHeight="1">
      <c r="A192" s="94"/>
      <c r="B192" s="241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5.75" customHeight="1">
      <c r="A193" s="94"/>
      <c r="B193" s="241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5.75" customHeight="1">
      <c r="A194" s="94"/>
      <c r="B194" s="241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5.75" customHeight="1">
      <c r="A195" s="94"/>
      <c r="B195" s="241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5.75" customHeight="1">
      <c r="A196" s="94"/>
      <c r="B196" s="241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5.75" customHeight="1">
      <c r="A197" s="94"/>
      <c r="B197" s="241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5.75" customHeight="1">
      <c r="A198" s="94"/>
      <c r="B198" s="241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5.75" customHeight="1">
      <c r="A199" s="94"/>
      <c r="B199" s="241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5.75" customHeight="1">
      <c r="A200" s="94"/>
      <c r="B200" s="241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5.75" customHeight="1">
      <c r="A201" s="94"/>
      <c r="B201" s="241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5.75" customHeight="1">
      <c r="A202" s="94"/>
      <c r="B202" s="241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5.75" customHeight="1">
      <c r="A203" s="94"/>
      <c r="B203" s="241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5.75" customHeight="1">
      <c r="A204" s="94"/>
      <c r="B204" s="241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5.75" customHeight="1">
      <c r="A205" s="94"/>
      <c r="B205" s="241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5.75" customHeight="1">
      <c r="A206" s="94"/>
      <c r="B206" s="241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5.75" customHeight="1">
      <c r="A207" s="94"/>
      <c r="B207" s="241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5.75" customHeight="1">
      <c r="A208" s="94"/>
      <c r="B208" s="241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5.75" customHeight="1">
      <c r="A209" s="94"/>
      <c r="B209" s="241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5.75" customHeight="1">
      <c r="A210" s="94"/>
      <c r="B210" s="241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5.75" customHeight="1">
      <c r="A211" s="94"/>
      <c r="B211" s="241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5.75" customHeight="1">
      <c r="A212" s="94"/>
      <c r="B212" s="241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5.75" customHeight="1">
      <c r="A213" s="94"/>
      <c r="B213" s="241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5.75" customHeight="1">
      <c r="A214" s="94"/>
      <c r="B214" s="241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5.75" customHeight="1">
      <c r="A215" s="94"/>
      <c r="B215" s="241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5.75" customHeight="1">
      <c r="A216" s="94"/>
      <c r="B216" s="241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5.75" customHeight="1">
      <c r="A217" s="94"/>
      <c r="B217" s="241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5.75" customHeight="1">
      <c r="A218" s="94"/>
      <c r="B218" s="241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5.75" customHeight="1">
      <c r="A219" s="94"/>
      <c r="B219" s="241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5.75" customHeight="1">
      <c r="A220" s="94"/>
      <c r="B220" s="241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5.75" customHeight="1">
      <c r="A221" s="94"/>
      <c r="B221" s="241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5.75" customHeight="1">
      <c r="A222" s="94"/>
      <c r="B222" s="241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5.75" customHeight="1">
      <c r="A223" s="94"/>
      <c r="B223" s="241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5.75" customHeight="1">
      <c r="A224" s="94"/>
      <c r="B224" s="241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5.75" customHeight="1">
      <c r="A225" s="94"/>
      <c r="B225" s="241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5.75" customHeight="1">
      <c r="A226" s="94"/>
      <c r="B226" s="241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5.75" customHeight="1">
      <c r="A227" s="94"/>
      <c r="B227" s="241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5.75" customHeight="1">
      <c r="A228" s="94"/>
      <c r="B228" s="241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5.75" customHeight="1">
      <c r="A229" s="94"/>
      <c r="B229" s="241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5.75" customHeight="1">
      <c r="A230" s="94"/>
      <c r="B230" s="241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5.75" customHeight="1">
      <c r="A231" s="94"/>
      <c r="B231" s="241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5.75" customHeight="1">
      <c r="A232" s="94"/>
      <c r="B232" s="241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5.75" customHeight="1">
      <c r="A233" s="94"/>
      <c r="B233" s="241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5.75" customHeight="1">
      <c r="A234" s="94"/>
      <c r="B234" s="241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5.75" customHeight="1">
      <c r="A235" s="94"/>
      <c r="B235" s="241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5.75" customHeight="1">
      <c r="A236" s="94"/>
      <c r="B236" s="241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5.75" customHeight="1">
      <c r="A237" s="94"/>
      <c r="B237" s="241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5.75" customHeight="1">
      <c r="A238" s="94"/>
      <c r="B238" s="241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5.75" customHeight="1">
      <c r="A239" s="94"/>
      <c r="B239" s="241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5.75" customHeight="1">
      <c r="A240" s="94"/>
      <c r="B240" s="241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5.75" customHeight="1">
      <c r="A241" s="94"/>
      <c r="B241" s="241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5.75" customHeight="1">
      <c r="A242" s="94"/>
      <c r="B242" s="241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5.75" customHeight="1">
      <c r="A243" s="94"/>
      <c r="B243" s="241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5.75" customHeight="1">
      <c r="A244" s="94"/>
      <c r="B244" s="241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5.75" customHeight="1">
      <c r="A245" s="94"/>
      <c r="B245" s="241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5.75" customHeight="1">
      <c r="A246" s="94"/>
      <c r="B246" s="241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5.75" customHeight="1">
      <c r="A247" s="94"/>
      <c r="B247" s="241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5.75" customHeight="1">
      <c r="A248" s="94"/>
      <c r="B248" s="241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5.75" customHeight="1">
      <c r="A249" s="94"/>
      <c r="B249" s="241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5.75" customHeight="1">
      <c r="A250" s="94"/>
      <c r="B250" s="241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5.75" customHeight="1">
      <c r="A251" s="94"/>
      <c r="B251" s="241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5.75" customHeight="1">
      <c r="A252" s="94"/>
      <c r="B252" s="241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5.75" customHeight="1">
      <c r="A253" s="94"/>
      <c r="B253" s="241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5.75" customHeight="1">
      <c r="A254" s="94"/>
      <c r="B254" s="241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5.75" customHeight="1">
      <c r="A255" s="94"/>
      <c r="B255" s="241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5.75" customHeight="1">
      <c r="A256" s="94"/>
      <c r="B256" s="241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5.75" customHeight="1">
      <c r="A257" s="94"/>
      <c r="B257" s="241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5.75" customHeight="1">
      <c r="A258" s="94"/>
      <c r="B258" s="241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5.75" customHeight="1">
      <c r="A259" s="94"/>
      <c r="B259" s="241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5.75" customHeight="1">
      <c r="A260" s="94"/>
      <c r="B260" s="241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5.75" customHeight="1">
      <c r="A261" s="94"/>
      <c r="B261" s="241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5.75" customHeight="1">
      <c r="A262" s="94"/>
      <c r="B262" s="241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5.75" customHeight="1">
      <c r="A263" s="94"/>
      <c r="B263" s="241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5.75" customHeight="1">
      <c r="A264" s="94"/>
      <c r="B264" s="241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5.75" customHeight="1">
      <c r="A265" s="94"/>
      <c r="B265" s="241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5.75" customHeight="1">
      <c r="A266" s="94"/>
      <c r="B266" s="241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5.75" customHeight="1">
      <c r="A267" s="94"/>
      <c r="B267" s="241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5.75" customHeight="1">
      <c r="A268" s="94"/>
      <c r="B268" s="241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5.75" customHeight="1">
      <c r="A269" s="94"/>
      <c r="B269" s="241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5.75" customHeight="1">
      <c r="A270" s="94"/>
      <c r="B270" s="241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5.75" customHeight="1">
      <c r="A271" s="94"/>
      <c r="B271" s="241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5.75" customHeight="1">
      <c r="A272" s="94"/>
      <c r="B272" s="241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5.75" customHeight="1">
      <c r="A273" s="94"/>
      <c r="B273" s="241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5.75" customHeight="1">
      <c r="A274" s="94"/>
      <c r="B274" s="241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5.75" customHeight="1">
      <c r="A275" s="94"/>
      <c r="B275" s="241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5.75" customHeight="1">
      <c r="A276" s="94"/>
      <c r="B276" s="241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5.75" customHeight="1">
      <c r="A277" s="94"/>
      <c r="B277" s="241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5.75" customHeight="1">
      <c r="A278" s="94"/>
      <c r="B278" s="241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5.75" customHeight="1">
      <c r="A279" s="94"/>
      <c r="B279" s="241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5.75" customHeight="1">
      <c r="A280" s="94"/>
      <c r="B280" s="241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5.75" customHeight="1">
      <c r="A281" s="94"/>
      <c r="B281" s="241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5.75" customHeight="1">
      <c r="A282" s="94"/>
      <c r="B282" s="241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5.75" customHeight="1">
      <c r="A283" s="94"/>
      <c r="B283" s="241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5.75" customHeight="1">
      <c r="A284" s="94"/>
      <c r="B284" s="241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5.75" customHeight="1">
      <c r="A285" s="94"/>
      <c r="B285" s="241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5.75" customHeight="1">
      <c r="A286" s="94"/>
      <c r="B286" s="241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5.75" customHeight="1">
      <c r="A287" s="94"/>
      <c r="B287" s="241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5.75" customHeight="1">
      <c r="A288" s="94"/>
      <c r="B288" s="241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5.75" customHeight="1">
      <c r="A289" s="94"/>
      <c r="B289" s="241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5.75" customHeight="1">
      <c r="A290" s="94"/>
      <c r="B290" s="241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5.75" customHeight="1">
      <c r="A291" s="94"/>
      <c r="B291" s="241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5.75" customHeight="1">
      <c r="A292" s="94"/>
      <c r="B292" s="241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5.75" customHeight="1">
      <c r="A293" s="94"/>
      <c r="B293" s="241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5.75" customHeight="1">
      <c r="A294" s="94"/>
      <c r="B294" s="241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5.75" customHeight="1">
      <c r="A295" s="94"/>
      <c r="B295" s="241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5.75" customHeight="1">
      <c r="A296" s="94"/>
      <c r="B296" s="241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5.75" customHeight="1">
      <c r="A297" s="94"/>
      <c r="B297" s="241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5.75" customHeight="1">
      <c r="A298" s="94"/>
      <c r="B298" s="241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5.75" customHeight="1">
      <c r="A299" s="94"/>
      <c r="B299" s="241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5.75" customHeight="1">
      <c r="A300" s="94"/>
      <c r="B300" s="241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5.75" customHeight="1">
      <c r="A301" s="94"/>
      <c r="B301" s="241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5.75" customHeight="1">
      <c r="A302" s="94"/>
      <c r="B302" s="241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5.75" customHeight="1">
      <c r="A303" s="94"/>
      <c r="B303" s="241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5.75" customHeight="1">
      <c r="A304" s="94"/>
      <c r="B304" s="241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5.75" customHeight="1">
      <c r="A305" s="94"/>
      <c r="B305" s="241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5.75" customHeight="1">
      <c r="A306" s="94"/>
      <c r="B306" s="241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5.75" customHeight="1">
      <c r="A307" s="94"/>
      <c r="B307" s="241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5.75" customHeight="1">
      <c r="A308" s="94"/>
      <c r="B308" s="241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5.75" customHeight="1">
      <c r="A309" s="94"/>
      <c r="B309" s="241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5.75" customHeight="1">
      <c r="A310" s="94"/>
      <c r="B310" s="241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5.75" customHeight="1">
      <c r="A311" s="94"/>
      <c r="B311" s="241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5.75" customHeight="1">
      <c r="A312" s="94"/>
      <c r="B312" s="241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5.75" customHeight="1">
      <c r="A313" s="94"/>
      <c r="B313" s="241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5.75" customHeight="1">
      <c r="A314" s="94"/>
      <c r="B314" s="241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5.75" customHeight="1">
      <c r="A315" s="94"/>
      <c r="B315" s="241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5.75" customHeight="1">
      <c r="A316" s="94"/>
      <c r="B316" s="241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5.75" customHeight="1">
      <c r="A317" s="94"/>
      <c r="B317" s="241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5.75" customHeight="1">
      <c r="A318" s="94"/>
      <c r="B318" s="241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5.75" customHeight="1">
      <c r="A319" s="94"/>
      <c r="B319" s="241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5.75" customHeight="1">
      <c r="A320" s="94"/>
      <c r="B320" s="241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5.75" customHeight="1">
      <c r="A321" s="94"/>
      <c r="B321" s="241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5.75" customHeight="1">
      <c r="A322" s="94"/>
      <c r="B322" s="241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5.75" customHeight="1">
      <c r="A323" s="94"/>
      <c r="B323" s="241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5.75" customHeight="1">
      <c r="A324" s="94"/>
      <c r="B324" s="241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5.75" customHeight="1">
      <c r="A325" s="94"/>
      <c r="B325" s="241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5.75" customHeight="1">
      <c r="A326" s="94"/>
      <c r="B326" s="241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5.75" customHeight="1">
      <c r="A327" s="94"/>
      <c r="B327" s="241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5.75" customHeight="1">
      <c r="A328" s="94"/>
      <c r="B328" s="241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5.75" customHeight="1">
      <c r="A329" s="94"/>
      <c r="B329" s="241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5.75" customHeight="1">
      <c r="A330" s="94"/>
      <c r="B330" s="241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5.75" customHeight="1">
      <c r="A331" s="94"/>
      <c r="B331" s="241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5.75" customHeight="1">
      <c r="A332" s="94"/>
      <c r="B332" s="241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5.75" customHeight="1">
      <c r="A333" s="94"/>
      <c r="B333" s="241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5.75" customHeight="1">
      <c r="A334" s="94"/>
      <c r="B334" s="241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5.75" customHeight="1">
      <c r="A335" s="94"/>
      <c r="B335" s="241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5.75" customHeight="1">
      <c r="A336" s="94"/>
      <c r="B336" s="241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5.75" customHeight="1">
      <c r="A337" s="94"/>
      <c r="B337" s="241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5.75" customHeight="1">
      <c r="A338" s="94"/>
      <c r="B338" s="241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5.75" customHeight="1">
      <c r="A339" s="94"/>
      <c r="B339" s="241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5.75" customHeight="1">
      <c r="A340" s="94"/>
      <c r="B340" s="241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5.75" customHeight="1">
      <c r="A341" s="94"/>
      <c r="B341" s="241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5.75" customHeight="1">
      <c r="A342" s="94"/>
      <c r="B342" s="241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5.75" customHeight="1">
      <c r="A343" s="94"/>
      <c r="B343" s="241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5.75" customHeight="1">
      <c r="A344" s="94"/>
      <c r="B344" s="241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5.75" customHeight="1">
      <c r="A345" s="94"/>
      <c r="B345" s="241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5.75" customHeight="1">
      <c r="A346" s="94"/>
      <c r="B346" s="241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5.75" customHeight="1">
      <c r="A347" s="94"/>
      <c r="B347" s="241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5.75" customHeight="1">
      <c r="A348" s="94"/>
      <c r="B348" s="241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5.75" customHeight="1">
      <c r="A349" s="94"/>
      <c r="B349" s="241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5.75" customHeight="1">
      <c r="A350" s="94"/>
      <c r="B350" s="241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5.75" customHeight="1">
      <c r="A351" s="94"/>
      <c r="B351" s="241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5.75" customHeight="1">
      <c r="A352" s="94"/>
      <c r="B352" s="241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5.75" customHeight="1">
      <c r="A353" s="94"/>
      <c r="B353" s="241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5.75" customHeight="1">
      <c r="A354" s="94"/>
      <c r="B354" s="241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5.75" customHeight="1">
      <c r="A355" s="94"/>
      <c r="B355" s="241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5.75" customHeight="1">
      <c r="A356" s="94"/>
      <c r="B356" s="241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5.75" customHeight="1">
      <c r="A357" s="94"/>
      <c r="B357" s="241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5.75" customHeight="1">
      <c r="A358" s="94"/>
      <c r="B358" s="241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5.75" customHeight="1">
      <c r="A359" s="94"/>
      <c r="B359" s="241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5.75" customHeight="1">
      <c r="A360" s="94"/>
      <c r="B360" s="241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5.75" customHeight="1">
      <c r="A361" s="94"/>
      <c r="B361" s="241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5.75" customHeight="1">
      <c r="A362" s="94"/>
      <c r="B362" s="241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5.75" customHeight="1">
      <c r="A363" s="94"/>
      <c r="B363" s="241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5.75" customHeight="1">
      <c r="A364" s="94"/>
      <c r="B364" s="241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5.75" customHeight="1">
      <c r="A365" s="94"/>
      <c r="B365" s="241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5.75" customHeight="1">
      <c r="A366" s="94"/>
      <c r="B366" s="241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5.75" customHeight="1">
      <c r="A367" s="94"/>
      <c r="B367" s="241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5.75" customHeight="1">
      <c r="A368" s="94"/>
      <c r="B368" s="241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5.75" customHeight="1">
      <c r="A369" s="94"/>
      <c r="B369" s="241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5.75" customHeight="1">
      <c r="A370" s="94"/>
      <c r="B370" s="241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5.75" customHeight="1">
      <c r="A371" s="94"/>
      <c r="B371" s="241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5.75" customHeight="1">
      <c r="A372" s="94"/>
      <c r="B372" s="241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5.75" customHeight="1">
      <c r="A373" s="94"/>
      <c r="B373" s="241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5.75" customHeight="1">
      <c r="A374" s="94"/>
      <c r="B374" s="241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5.75" customHeight="1">
      <c r="A375" s="94"/>
      <c r="B375" s="241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5.75" customHeight="1">
      <c r="A376" s="94"/>
      <c r="B376" s="241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5.75" customHeight="1">
      <c r="A377" s="94"/>
      <c r="B377" s="241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5.75" customHeight="1">
      <c r="A378" s="94"/>
      <c r="B378" s="241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5.75" customHeight="1">
      <c r="A379" s="94"/>
      <c r="B379" s="241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5.75" customHeight="1">
      <c r="A380" s="94"/>
      <c r="B380" s="241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5.75" customHeight="1">
      <c r="A381" s="94"/>
      <c r="B381" s="241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5.75" customHeight="1">
      <c r="A382" s="94"/>
      <c r="B382" s="241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5.75" customHeight="1">
      <c r="A383" s="94"/>
      <c r="B383" s="241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5.75" customHeight="1">
      <c r="A384" s="94"/>
      <c r="B384" s="241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5.75" customHeight="1">
      <c r="A385" s="94"/>
      <c r="B385" s="241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5.75" customHeight="1">
      <c r="A386" s="94"/>
      <c r="B386" s="241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5.75" customHeight="1">
      <c r="A387" s="94"/>
      <c r="B387" s="241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5.75" customHeight="1">
      <c r="A388" s="94"/>
      <c r="B388" s="241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5.75" customHeight="1">
      <c r="A389" s="94"/>
      <c r="B389" s="241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5.75" customHeight="1">
      <c r="A390" s="94"/>
      <c r="B390" s="241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5.75" customHeight="1">
      <c r="A391" s="94"/>
      <c r="B391" s="241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5.75" customHeight="1">
      <c r="A392" s="94"/>
      <c r="B392" s="241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5.75" customHeight="1">
      <c r="A393" s="94"/>
      <c r="B393" s="241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5.75" customHeight="1">
      <c r="A394" s="94"/>
      <c r="B394" s="241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5.75" customHeight="1">
      <c r="A395" s="94"/>
      <c r="B395" s="241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5.75" customHeight="1">
      <c r="A396" s="94"/>
      <c r="B396" s="241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5.75" customHeight="1">
      <c r="A397" s="94"/>
      <c r="B397" s="241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5.75" customHeight="1">
      <c r="A398" s="94"/>
      <c r="B398" s="241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5.75" customHeight="1">
      <c r="A399" s="94"/>
      <c r="B399" s="241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5.75" customHeight="1">
      <c r="A400" s="94"/>
      <c r="B400" s="241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5.75" customHeight="1">
      <c r="A401" s="94"/>
      <c r="B401" s="241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5.75" customHeight="1">
      <c r="A402" s="94"/>
      <c r="B402" s="241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5.75" customHeight="1">
      <c r="A403" s="94"/>
      <c r="B403" s="241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5.75" customHeight="1">
      <c r="A404" s="94"/>
      <c r="B404" s="241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5.75" customHeight="1">
      <c r="A405" s="94"/>
      <c r="B405" s="241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5.75" customHeight="1">
      <c r="A406" s="94"/>
      <c r="B406" s="241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5.75" customHeight="1">
      <c r="A407" s="94"/>
      <c r="B407" s="241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5.75" customHeight="1">
      <c r="A408" s="94"/>
      <c r="B408" s="241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5.75" customHeight="1">
      <c r="A409" s="94"/>
      <c r="B409" s="241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5.75" customHeight="1">
      <c r="A410" s="94"/>
      <c r="B410" s="241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5.75" customHeight="1">
      <c r="A411" s="94"/>
      <c r="B411" s="241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5.75" customHeight="1">
      <c r="A412" s="94"/>
      <c r="B412" s="241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5.75" customHeight="1">
      <c r="A413" s="94"/>
      <c r="B413" s="241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5.75" customHeight="1">
      <c r="A414" s="94"/>
      <c r="B414" s="241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5.75" customHeight="1">
      <c r="A415" s="94"/>
      <c r="B415" s="241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5.75" customHeight="1">
      <c r="A416" s="94"/>
      <c r="B416" s="241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5.75" customHeight="1">
      <c r="A417" s="94"/>
      <c r="B417" s="241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5.75" customHeight="1">
      <c r="A418" s="94"/>
      <c r="B418" s="241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5.75" customHeight="1">
      <c r="A419" s="94"/>
      <c r="B419" s="241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5.75" customHeight="1">
      <c r="A420" s="94"/>
      <c r="B420" s="241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5.75" customHeight="1">
      <c r="A421" s="94"/>
      <c r="B421" s="241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5.75" customHeight="1">
      <c r="A422" s="94"/>
      <c r="B422" s="241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5.75" customHeight="1">
      <c r="A423" s="94"/>
      <c r="B423" s="241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5.75" customHeight="1">
      <c r="A424" s="94"/>
      <c r="B424" s="241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5.75" customHeight="1">
      <c r="A425" s="94"/>
      <c r="B425" s="241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5.75" customHeight="1">
      <c r="A426" s="94"/>
      <c r="B426" s="241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5.75" customHeight="1">
      <c r="A427" s="94"/>
      <c r="B427" s="241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5.75" customHeight="1">
      <c r="A428" s="94"/>
      <c r="B428" s="241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5.75" customHeight="1">
      <c r="A429" s="94"/>
      <c r="B429" s="241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5.75" customHeight="1">
      <c r="A430" s="94"/>
      <c r="B430" s="241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5.75" customHeight="1">
      <c r="A431" s="94"/>
      <c r="B431" s="241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5.75" customHeight="1">
      <c r="A432" s="94"/>
      <c r="B432" s="241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5.75" customHeight="1">
      <c r="A433" s="94"/>
      <c r="B433" s="241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5.75" customHeight="1">
      <c r="A434" s="94"/>
      <c r="B434" s="241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5.75" customHeight="1">
      <c r="A435" s="94"/>
      <c r="B435" s="241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5.75" customHeight="1">
      <c r="A436" s="94"/>
      <c r="B436" s="241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5.75" customHeight="1">
      <c r="A437" s="94"/>
      <c r="B437" s="241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5.75" customHeight="1">
      <c r="A438" s="94"/>
      <c r="B438" s="241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5.75" customHeight="1">
      <c r="A439" s="94"/>
      <c r="B439" s="241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5.75" customHeight="1">
      <c r="A440" s="94"/>
      <c r="B440" s="241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5.75" customHeight="1">
      <c r="A441" s="94"/>
      <c r="B441" s="241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5.75" customHeight="1">
      <c r="A442" s="94"/>
      <c r="B442" s="241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5.75" customHeight="1">
      <c r="A443" s="94"/>
      <c r="B443" s="241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5.75" customHeight="1">
      <c r="A444" s="94"/>
      <c r="B444" s="241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5.75" customHeight="1">
      <c r="A445" s="94"/>
      <c r="B445" s="241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5.75" customHeight="1">
      <c r="A446" s="94"/>
      <c r="B446" s="241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5.75" customHeight="1">
      <c r="A447" s="94"/>
      <c r="B447" s="241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5.75" customHeight="1">
      <c r="A448" s="94"/>
      <c r="B448" s="241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5.75" customHeight="1">
      <c r="A449" s="94"/>
      <c r="B449" s="241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5.75" customHeight="1">
      <c r="A450" s="94"/>
      <c r="B450" s="241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5.75" customHeight="1">
      <c r="A451" s="94"/>
      <c r="B451" s="241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5.75" customHeight="1">
      <c r="A452" s="94"/>
      <c r="B452" s="241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5.75" customHeight="1">
      <c r="A453" s="94"/>
      <c r="B453" s="241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5.75" customHeight="1">
      <c r="A454" s="94"/>
      <c r="B454" s="241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5.75" customHeight="1">
      <c r="A455" s="94"/>
      <c r="B455" s="241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5.75" customHeight="1">
      <c r="A456" s="94"/>
      <c r="B456" s="241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5.75" customHeight="1">
      <c r="A457" s="94"/>
      <c r="B457" s="241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5.75" customHeight="1">
      <c r="A458" s="94"/>
      <c r="B458" s="241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5.75" customHeight="1">
      <c r="A459" s="94"/>
      <c r="B459" s="241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5.75" customHeight="1">
      <c r="A460" s="94"/>
      <c r="B460" s="241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5.75" customHeight="1">
      <c r="A461" s="94"/>
      <c r="B461" s="241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5.75" customHeight="1">
      <c r="A462" s="94"/>
      <c r="B462" s="241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5.75" customHeight="1">
      <c r="A463" s="94"/>
      <c r="B463" s="241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5.75" customHeight="1">
      <c r="A464" s="94"/>
      <c r="B464" s="241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5.75" customHeight="1">
      <c r="A465" s="94"/>
      <c r="B465" s="241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5.75" customHeight="1">
      <c r="A466" s="94"/>
      <c r="B466" s="241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5.75" customHeight="1">
      <c r="A467" s="94"/>
      <c r="B467" s="241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5.75" customHeight="1">
      <c r="A468" s="94"/>
      <c r="B468" s="241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5.75" customHeight="1">
      <c r="A469" s="94"/>
      <c r="B469" s="241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5.75" customHeight="1">
      <c r="A470" s="94"/>
      <c r="B470" s="241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5.75" customHeight="1">
      <c r="A471" s="94"/>
      <c r="B471" s="241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5.75" customHeight="1">
      <c r="A472" s="94"/>
      <c r="B472" s="241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5.75" customHeight="1">
      <c r="A473" s="94"/>
      <c r="B473" s="241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5.75" customHeight="1">
      <c r="A474" s="94"/>
      <c r="B474" s="241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5.75" customHeight="1">
      <c r="A475" s="94"/>
      <c r="B475" s="241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5.75" customHeight="1">
      <c r="A476" s="94"/>
      <c r="B476" s="241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5.75" customHeight="1">
      <c r="A477" s="94"/>
      <c r="B477" s="241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5.75" customHeight="1">
      <c r="A478" s="94"/>
      <c r="B478" s="241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5.75" customHeight="1">
      <c r="A479" s="94"/>
      <c r="B479" s="241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5.75" customHeight="1">
      <c r="A480" s="94"/>
      <c r="B480" s="241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5.75" customHeight="1">
      <c r="A481" s="94"/>
      <c r="B481" s="241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5.75" customHeight="1">
      <c r="A482" s="94"/>
      <c r="B482" s="241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5.75" customHeight="1">
      <c r="A483" s="94"/>
      <c r="B483" s="241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5.75" customHeight="1">
      <c r="A484" s="94"/>
      <c r="B484" s="241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5.75" customHeight="1">
      <c r="A485" s="94"/>
      <c r="B485" s="241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5.75" customHeight="1">
      <c r="A486" s="94"/>
      <c r="B486" s="241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5.75" customHeight="1">
      <c r="A487" s="94"/>
      <c r="B487" s="241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5.75" customHeight="1">
      <c r="A488" s="94"/>
      <c r="B488" s="241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5.75" customHeight="1">
      <c r="A489" s="94"/>
      <c r="B489" s="241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5.75" customHeight="1">
      <c r="A490" s="94"/>
      <c r="B490" s="241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5.75" customHeight="1">
      <c r="A491" s="94"/>
      <c r="B491" s="241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5.75" customHeight="1">
      <c r="A492" s="94"/>
      <c r="B492" s="241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5.75" customHeight="1">
      <c r="A493" s="94"/>
      <c r="B493" s="241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5.75" customHeight="1">
      <c r="A494" s="94"/>
      <c r="B494" s="241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5.75" customHeight="1">
      <c r="A495" s="94"/>
      <c r="B495" s="241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5.75" customHeight="1">
      <c r="A496" s="94"/>
      <c r="B496" s="241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5.75" customHeight="1">
      <c r="A497" s="94"/>
      <c r="B497" s="241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5.75" customHeight="1">
      <c r="A498" s="94"/>
      <c r="B498" s="241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5.75" customHeight="1">
      <c r="A499" s="94"/>
      <c r="B499" s="241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5.75" customHeight="1">
      <c r="A500" s="94"/>
      <c r="B500" s="241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5.75" customHeight="1">
      <c r="A501" s="94"/>
      <c r="B501" s="241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5.75" customHeight="1">
      <c r="A502" s="94"/>
      <c r="B502" s="241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5.75" customHeight="1">
      <c r="A503" s="94"/>
      <c r="B503" s="241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5.75" customHeight="1">
      <c r="A504" s="94"/>
      <c r="B504" s="241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5.75" customHeight="1">
      <c r="A505" s="94"/>
      <c r="B505" s="241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5.75" customHeight="1">
      <c r="A506" s="94"/>
      <c r="B506" s="241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5.75" customHeight="1">
      <c r="A507" s="94"/>
      <c r="B507" s="241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5.75" customHeight="1">
      <c r="A508" s="94"/>
      <c r="B508" s="241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5.75" customHeight="1">
      <c r="A509" s="94"/>
      <c r="B509" s="241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5.75" customHeight="1">
      <c r="A510" s="94"/>
      <c r="B510" s="241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5.75" customHeight="1">
      <c r="A511" s="94"/>
      <c r="B511" s="241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5.75" customHeight="1">
      <c r="A512" s="94"/>
      <c r="B512" s="241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5.75" customHeight="1">
      <c r="A513" s="94"/>
      <c r="B513" s="241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5.75" customHeight="1">
      <c r="A514" s="94"/>
      <c r="B514" s="241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5.75" customHeight="1">
      <c r="A515" s="94"/>
      <c r="B515" s="241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5.75" customHeight="1">
      <c r="A516" s="94"/>
      <c r="B516" s="241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5.75" customHeight="1">
      <c r="A517" s="94"/>
      <c r="B517" s="241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5.75" customHeight="1">
      <c r="A518" s="94"/>
      <c r="B518" s="241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5.75" customHeight="1">
      <c r="A519" s="94"/>
      <c r="B519" s="241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5.75" customHeight="1">
      <c r="A520" s="94"/>
      <c r="B520" s="241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5.75" customHeight="1">
      <c r="A521" s="94"/>
      <c r="B521" s="241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5.75" customHeight="1">
      <c r="A522" s="94"/>
      <c r="B522" s="241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5.75" customHeight="1">
      <c r="A523" s="94"/>
      <c r="B523" s="241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5.75" customHeight="1">
      <c r="A524" s="94"/>
      <c r="B524" s="241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5.75" customHeight="1">
      <c r="A525" s="94"/>
      <c r="B525" s="241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5.75" customHeight="1">
      <c r="A526" s="94"/>
      <c r="B526" s="241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5.75" customHeight="1">
      <c r="A527" s="94"/>
      <c r="B527" s="241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5.75" customHeight="1">
      <c r="A528" s="94"/>
      <c r="B528" s="241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5.75" customHeight="1">
      <c r="A529" s="94"/>
      <c r="B529" s="241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5.75" customHeight="1">
      <c r="A530" s="94"/>
      <c r="B530" s="241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5.75" customHeight="1">
      <c r="A531" s="94"/>
      <c r="B531" s="241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5.75" customHeight="1">
      <c r="A532" s="94"/>
      <c r="B532" s="241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5.75" customHeight="1">
      <c r="A533" s="94"/>
      <c r="B533" s="241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5.75" customHeight="1">
      <c r="A534" s="94"/>
      <c r="B534" s="241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5.75" customHeight="1">
      <c r="A535" s="94"/>
      <c r="B535" s="241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5.75" customHeight="1">
      <c r="A536" s="94"/>
      <c r="B536" s="241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5.75" customHeight="1">
      <c r="A537" s="94"/>
      <c r="B537" s="241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5.75" customHeight="1">
      <c r="A538" s="94"/>
      <c r="B538" s="241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5.75" customHeight="1">
      <c r="A539" s="94"/>
      <c r="B539" s="241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5.75" customHeight="1">
      <c r="A540" s="94"/>
      <c r="B540" s="241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5.75" customHeight="1">
      <c r="A541" s="94"/>
      <c r="B541" s="241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5.75" customHeight="1">
      <c r="A542" s="94"/>
      <c r="B542" s="241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5.75" customHeight="1">
      <c r="A543" s="94"/>
      <c r="B543" s="241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5.75" customHeight="1">
      <c r="A544" s="94"/>
      <c r="B544" s="241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5.75" customHeight="1">
      <c r="A545" s="94"/>
      <c r="B545" s="241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5.75" customHeight="1">
      <c r="A546" s="94"/>
      <c r="B546" s="241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5.75" customHeight="1">
      <c r="A547" s="94"/>
      <c r="B547" s="241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5.75" customHeight="1">
      <c r="A548" s="94"/>
      <c r="B548" s="241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5.75" customHeight="1">
      <c r="A549" s="94"/>
      <c r="B549" s="241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5.75" customHeight="1">
      <c r="A550" s="94"/>
      <c r="B550" s="241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5.75" customHeight="1">
      <c r="A551" s="94"/>
      <c r="B551" s="241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5.75" customHeight="1">
      <c r="A552" s="94"/>
      <c r="B552" s="241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5.75" customHeight="1">
      <c r="A553" s="94"/>
      <c r="B553" s="241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5.75" customHeight="1">
      <c r="A554" s="94"/>
      <c r="B554" s="241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5.75" customHeight="1">
      <c r="A555" s="94"/>
      <c r="B555" s="241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5.75" customHeight="1">
      <c r="A556" s="94"/>
      <c r="B556" s="241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5.75" customHeight="1">
      <c r="A557" s="94"/>
      <c r="B557" s="241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5.75" customHeight="1">
      <c r="A558" s="94"/>
      <c r="B558" s="241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5.75" customHeight="1">
      <c r="A559" s="94"/>
      <c r="B559" s="241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5.75" customHeight="1">
      <c r="A560" s="94"/>
      <c r="B560" s="241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5.75" customHeight="1">
      <c r="A561" s="94"/>
      <c r="B561" s="241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5.75" customHeight="1">
      <c r="A562" s="94"/>
      <c r="B562" s="241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5.75" customHeight="1">
      <c r="A563" s="94"/>
      <c r="B563" s="241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5.75" customHeight="1">
      <c r="A564" s="94"/>
      <c r="B564" s="241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5.75" customHeight="1">
      <c r="A565" s="94"/>
      <c r="B565" s="241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5.75" customHeight="1">
      <c r="A566" s="94"/>
      <c r="B566" s="241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5.75" customHeight="1">
      <c r="A567" s="94"/>
      <c r="B567" s="241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5.75" customHeight="1">
      <c r="A568" s="94"/>
      <c r="B568" s="241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5.75" customHeight="1">
      <c r="A569" s="94"/>
      <c r="B569" s="241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5.75" customHeight="1">
      <c r="A570" s="94"/>
      <c r="B570" s="241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5.75" customHeight="1">
      <c r="A571" s="94"/>
      <c r="B571" s="241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5.75" customHeight="1">
      <c r="A572" s="94"/>
      <c r="B572" s="241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5.75" customHeight="1">
      <c r="A573" s="94"/>
      <c r="B573" s="241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5.75" customHeight="1">
      <c r="A574" s="94"/>
      <c r="B574" s="241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5.75" customHeight="1">
      <c r="A575" s="94"/>
      <c r="B575" s="241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5.75" customHeight="1">
      <c r="A576" s="94"/>
      <c r="B576" s="241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5.75" customHeight="1">
      <c r="A577" s="94"/>
      <c r="B577" s="241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5.75" customHeight="1">
      <c r="A578" s="94"/>
      <c r="B578" s="241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5.75" customHeight="1">
      <c r="A579" s="94"/>
      <c r="B579" s="241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5.75" customHeight="1">
      <c r="A580" s="94"/>
      <c r="B580" s="241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5.75" customHeight="1">
      <c r="A581" s="94"/>
      <c r="B581" s="241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5.75" customHeight="1">
      <c r="A582" s="94"/>
      <c r="B582" s="241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5.75" customHeight="1">
      <c r="A583" s="94"/>
      <c r="B583" s="241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5.75" customHeight="1">
      <c r="A584" s="94"/>
      <c r="B584" s="241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5.75" customHeight="1">
      <c r="A585" s="94"/>
      <c r="B585" s="241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5.75" customHeight="1">
      <c r="A586" s="94"/>
      <c r="B586" s="241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5.75" customHeight="1">
      <c r="A587" s="94"/>
      <c r="B587" s="241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5.75" customHeight="1">
      <c r="A588" s="94"/>
      <c r="B588" s="241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5.75" customHeight="1">
      <c r="A589" s="94"/>
      <c r="B589" s="241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5.75" customHeight="1">
      <c r="A590" s="94"/>
      <c r="B590" s="241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5.75" customHeight="1">
      <c r="A591" s="94"/>
      <c r="B591" s="241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5.75" customHeight="1">
      <c r="A592" s="94"/>
      <c r="B592" s="241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5.75" customHeight="1">
      <c r="A593" s="94"/>
      <c r="B593" s="241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5.75" customHeight="1">
      <c r="A594" s="94"/>
      <c r="B594" s="241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5.75" customHeight="1">
      <c r="A595" s="94"/>
      <c r="B595" s="241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5.75" customHeight="1">
      <c r="A596" s="94"/>
      <c r="B596" s="241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5.75" customHeight="1">
      <c r="A597" s="94"/>
      <c r="B597" s="241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5.75" customHeight="1">
      <c r="A598" s="94"/>
      <c r="B598" s="241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5.75" customHeight="1">
      <c r="A599" s="94"/>
      <c r="B599" s="241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5.75" customHeight="1">
      <c r="A600" s="94"/>
      <c r="B600" s="241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5.75" customHeight="1">
      <c r="A601" s="94"/>
      <c r="B601" s="241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5.75" customHeight="1">
      <c r="A602" s="94"/>
      <c r="B602" s="241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5.75" customHeight="1">
      <c r="A603" s="94"/>
      <c r="B603" s="241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5.75" customHeight="1">
      <c r="A604" s="94"/>
      <c r="B604" s="241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5.75" customHeight="1">
      <c r="A605" s="94"/>
      <c r="B605" s="241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5.75" customHeight="1">
      <c r="A606" s="94"/>
      <c r="B606" s="241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5.75" customHeight="1">
      <c r="A607" s="94"/>
      <c r="B607" s="241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5.75" customHeight="1">
      <c r="A608" s="94"/>
      <c r="B608" s="241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5.75" customHeight="1">
      <c r="A609" s="94"/>
      <c r="B609" s="241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5.75" customHeight="1">
      <c r="A610" s="94"/>
      <c r="B610" s="241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5.75" customHeight="1">
      <c r="A611" s="94"/>
      <c r="B611" s="241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5.75" customHeight="1">
      <c r="A612" s="94"/>
      <c r="B612" s="241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5.75" customHeight="1">
      <c r="A613" s="94"/>
      <c r="B613" s="241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5.75" customHeight="1">
      <c r="A614" s="94"/>
      <c r="B614" s="241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5.75" customHeight="1">
      <c r="A615" s="94"/>
      <c r="B615" s="241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5.75" customHeight="1">
      <c r="A616" s="94"/>
      <c r="B616" s="241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5.75" customHeight="1">
      <c r="A617" s="94"/>
      <c r="B617" s="241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5.75" customHeight="1">
      <c r="A618" s="94"/>
      <c r="B618" s="241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5.75" customHeight="1">
      <c r="A619" s="94"/>
      <c r="B619" s="241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5.75" customHeight="1">
      <c r="A620" s="94"/>
      <c r="B620" s="241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5.75" customHeight="1">
      <c r="A621" s="94"/>
      <c r="B621" s="241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5.75" customHeight="1">
      <c r="A622" s="94"/>
      <c r="B622" s="241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5.75" customHeight="1">
      <c r="A623" s="94"/>
      <c r="B623" s="241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5.75" customHeight="1">
      <c r="A624" s="94"/>
      <c r="B624" s="241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5.75" customHeight="1">
      <c r="A625" s="94"/>
      <c r="B625" s="241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5.75" customHeight="1">
      <c r="A626" s="94"/>
      <c r="B626" s="241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5.75" customHeight="1">
      <c r="A627" s="94"/>
      <c r="B627" s="241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5.75" customHeight="1">
      <c r="A628" s="94"/>
      <c r="B628" s="241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5.75" customHeight="1">
      <c r="A629" s="94"/>
      <c r="B629" s="241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5.75" customHeight="1">
      <c r="A630" s="94"/>
      <c r="B630" s="241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5.75" customHeight="1">
      <c r="A631" s="94"/>
      <c r="B631" s="241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5.75" customHeight="1">
      <c r="A632" s="94"/>
      <c r="B632" s="241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5.75" customHeight="1">
      <c r="A633" s="94"/>
      <c r="B633" s="241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5.75" customHeight="1">
      <c r="A634" s="94"/>
      <c r="B634" s="241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5.75" customHeight="1">
      <c r="A635" s="94"/>
      <c r="B635" s="241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5.75" customHeight="1">
      <c r="A636" s="94"/>
      <c r="B636" s="241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5.75" customHeight="1">
      <c r="A637" s="94"/>
      <c r="B637" s="241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5.75" customHeight="1">
      <c r="A638" s="94"/>
      <c r="B638" s="241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5.75" customHeight="1">
      <c r="A639" s="94"/>
      <c r="B639" s="241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5.75" customHeight="1">
      <c r="A640" s="94"/>
      <c r="B640" s="241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5.75" customHeight="1">
      <c r="A641" s="94"/>
      <c r="B641" s="241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5.75" customHeight="1">
      <c r="A642" s="94"/>
      <c r="B642" s="241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5.75" customHeight="1">
      <c r="A643" s="94"/>
      <c r="B643" s="241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5.75" customHeight="1">
      <c r="A644" s="94"/>
      <c r="B644" s="241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5.75" customHeight="1">
      <c r="A645" s="94"/>
      <c r="B645" s="241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5.75" customHeight="1">
      <c r="A646" s="94"/>
      <c r="B646" s="241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5.75" customHeight="1">
      <c r="A647" s="94"/>
      <c r="B647" s="241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5.75" customHeight="1">
      <c r="A648" s="94"/>
      <c r="B648" s="241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5.75" customHeight="1">
      <c r="A649" s="94"/>
      <c r="B649" s="241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5.75" customHeight="1">
      <c r="A650" s="94"/>
      <c r="B650" s="241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5.75" customHeight="1">
      <c r="A651" s="94"/>
      <c r="B651" s="241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5.75" customHeight="1">
      <c r="A652" s="94"/>
      <c r="B652" s="241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5.75" customHeight="1">
      <c r="A653" s="94"/>
      <c r="B653" s="241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5.75" customHeight="1">
      <c r="A654" s="94"/>
      <c r="B654" s="241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5.75" customHeight="1">
      <c r="A655" s="94"/>
      <c r="B655" s="241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5.75" customHeight="1">
      <c r="A656" s="94"/>
      <c r="B656" s="241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5.75" customHeight="1">
      <c r="A657" s="94"/>
      <c r="B657" s="241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5.75" customHeight="1">
      <c r="A658" s="94"/>
      <c r="B658" s="241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5.75" customHeight="1">
      <c r="A659" s="94"/>
      <c r="B659" s="241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5.75" customHeight="1">
      <c r="A660" s="94"/>
      <c r="B660" s="241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5.75" customHeight="1">
      <c r="A661" s="94"/>
      <c r="B661" s="241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5.75" customHeight="1">
      <c r="A662" s="94"/>
      <c r="B662" s="241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5.75" customHeight="1">
      <c r="A663" s="94"/>
      <c r="B663" s="241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5.75" customHeight="1">
      <c r="A664" s="94"/>
      <c r="B664" s="241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5.75" customHeight="1">
      <c r="A665" s="94"/>
      <c r="B665" s="241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5.75" customHeight="1">
      <c r="A666" s="94"/>
      <c r="B666" s="241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5.75" customHeight="1">
      <c r="A667" s="94"/>
      <c r="B667" s="241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5.75" customHeight="1">
      <c r="A668" s="94"/>
      <c r="B668" s="241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5.75" customHeight="1">
      <c r="A669" s="94"/>
      <c r="B669" s="241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5.75" customHeight="1">
      <c r="A670" s="94"/>
      <c r="B670" s="241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5.75" customHeight="1">
      <c r="A671" s="94"/>
      <c r="B671" s="241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5.75" customHeight="1">
      <c r="A672" s="94"/>
      <c r="B672" s="241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5.75" customHeight="1">
      <c r="A673" s="94"/>
      <c r="B673" s="241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5.75" customHeight="1">
      <c r="A674" s="94"/>
      <c r="B674" s="241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5.75" customHeight="1">
      <c r="A675" s="94"/>
      <c r="B675" s="241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5.75" customHeight="1">
      <c r="A676" s="94"/>
      <c r="B676" s="241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5.75" customHeight="1">
      <c r="A677" s="94"/>
      <c r="B677" s="241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5.75" customHeight="1">
      <c r="A678" s="94"/>
      <c r="B678" s="241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5.75" customHeight="1">
      <c r="A679" s="94"/>
      <c r="B679" s="241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5.75" customHeight="1">
      <c r="A680" s="94"/>
      <c r="B680" s="241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5.75" customHeight="1">
      <c r="A681" s="94"/>
      <c r="B681" s="241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5.75" customHeight="1">
      <c r="A682" s="94"/>
      <c r="B682" s="241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5.75" customHeight="1">
      <c r="A683" s="94"/>
      <c r="B683" s="241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5.75" customHeight="1">
      <c r="A684" s="94"/>
      <c r="B684" s="241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5.75" customHeight="1">
      <c r="A685" s="94"/>
      <c r="B685" s="241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5.75" customHeight="1">
      <c r="A686" s="94"/>
      <c r="B686" s="241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5.75" customHeight="1">
      <c r="A687" s="94"/>
      <c r="B687" s="241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5.75" customHeight="1">
      <c r="A688" s="94"/>
      <c r="B688" s="241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5.75" customHeight="1">
      <c r="A689" s="94"/>
      <c r="B689" s="241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5.75" customHeight="1">
      <c r="A690" s="94"/>
      <c r="B690" s="241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5.75" customHeight="1">
      <c r="A691" s="94"/>
      <c r="B691" s="241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5.75" customHeight="1">
      <c r="A692" s="94"/>
      <c r="B692" s="241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5.75" customHeight="1">
      <c r="A693" s="94"/>
      <c r="B693" s="241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5.75" customHeight="1">
      <c r="A694" s="94"/>
      <c r="B694" s="241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5.75" customHeight="1">
      <c r="A695" s="94"/>
      <c r="B695" s="241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5.75" customHeight="1">
      <c r="A696" s="94"/>
      <c r="B696" s="241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5.75" customHeight="1">
      <c r="A697" s="94"/>
      <c r="B697" s="241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5.75" customHeight="1">
      <c r="A698" s="94"/>
      <c r="B698" s="241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5.75" customHeight="1">
      <c r="A699" s="94"/>
      <c r="B699" s="241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5.75" customHeight="1">
      <c r="A700" s="94"/>
      <c r="B700" s="241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5.75" customHeight="1">
      <c r="A701" s="94"/>
      <c r="B701" s="241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5.75" customHeight="1">
      <c r="A702" s="94"/>
      <c r="B702" s="241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5.75" customHeight="1">
      <c r="A703" s="94"/>
      <c r="B703" s="241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5.75" customHeight="1">
      <c r="A704" s="94"/>
      <c r="B704" s="241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5.75" customHeight="1">
      <c r="A705" s="94"/>
      <c r="B705" s="241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5.75" customHeight="1">
      <c r="A706" s="94"/>
      <c r="B706" s="241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5.75" customHeight="1">
      <c r="A707" s="94"/>
      <c r="B707" s="241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5.75" customHeight="1">
      <c r="A708" s="94"/>
      <c r="B708" s="241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5.75" customHeight="1">
      <c r="A709" s="94"/>
      <c r="B709" s="241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5.75" customHeight="1">
      <c r="A710" s="94"/>
      <c r="B710" s="241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5.75" customHeight="1">
      <c r="A711" s="94"/>
      <c r="B711" s="241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5.75" customHeight="1">
      <c r="A712" s="94"/>
      <c r="B712" s="241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5.75" customHeight="1">
      <c r="A713" s="94"/>
      <c r="B713" s="241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5.75" customHeight="1">
      <c r="A714" s="94"/>
      <c r="B714" s="241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5.75" customHeight="1">
      <c r="A715" s="94"/>
      <c r="B715" s="241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5.75" customHeight="1">
      <c r="A716" s="94"/>
      <c r="B716" s="241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5.75" customHeight="1">
      <c r="A717" s="94"/>
      <c r="B717" s="241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5.75" customHeight="1">
      <c r="A718" s="94"/>
      <c r="B718" s="241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5.75" customHeight="1">
      <c r="A719" s="94"/>
      <c r="B719" s="241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5.75" customHeight="1">
      <c r="A720" s="94"/>
      <c r="B720" s="241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5.75" customHeight="1">
      <c r="A721" s="94"/>
      <c r="B721" s="241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5.75" customHeight="1">
      <c r="A722" s="94"/>
      <c r="B722" s="241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5.75" customHeight="1">
      <c r="A723" s="94"/>
      <c r="B723" s="241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5.75" customHeight="1">
      <c r="A724" s="94"/>
      <c r="B724" s="241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5.75" customHeight="1">
      <c r="A725" s="94"/>
      <c r="B725" s="241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5.75" customHeight="1">
      <c r="A726" s="94"/>
      <c r="B726" s="241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5.75" customHeight="1">
      <c r="A727" s="94"/>
      <c r="B727" s="241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5.75" customHeight="1">
      <c r="A728" s="94"/>
      <c r="B728" s="241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5.75" customHeight="1">
      <c r="A729" s="94"/>
      <c r="B729" s="241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5.75" customHeight="1">
      <c r="A730" s="94"/>
      <c r="B730" s="241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5.75" customHeight="1">
      <c r="A731" s="94"/>
      <c r="B731" s="241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5.75" customHeight="1">
      <c r="A732" s="94"/>
      <c r="B732" s="241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5.75" customHeight="1">
      <c r="A733" s="94"/>
      <c r="B733" s="241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5.75" customHeight="1">
      <c r="A734" s="94"/>
      <c r="B734" s="241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5.75" customHeight="1">
      <c r="A735" s="94"/>
      <c r="B735" s="241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5.75" customHeight="1">
      <c r="A736" s="94"/>
      <c r="B736" s="241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5.75" customHeight="1">
      <c r="A737" s="94"/>
      <c r="B737" s="241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5.75" customHeight="1">
      <c r="A738" s="94"/>
      <c r="B738" s="241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5.75" customHeight="1">
      <c r="A739" s="94"/>
      <c r="B739" s="241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5.75" customHeight="1">
      <c r="A740" s="94"/>
      <c r="B740" s="241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5.75" customHeight="1">
      <c r="A741" s="94"/>
      <c r="B741" s="241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5.75" customHeight="1">
      <c r="A742" s="94"/>
      <c r="B742" s="241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5.75" customHeight="1">
      <c r="A743" s="94"/>
      <c r="B743" s="241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5.75" customHeight="1">
      <c r="A744" s="94"/>
      <c r="B744" s="241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5.75" customHeight="1">
      <c r="A745" s="94"/>
      <c r="B745" s="241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5.75" customHeight="1">
      <c r="A746" s="94"/>
      <c r="B746" s="241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5.75" customHeight="1">
      <c r="A747" s="94"/>
      <c r="B747" s="241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5.75" customHeight="1">
      <c r="A748" s="94"/>
      <c r="B748" s="241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5.75" customHeight="1">
      <c r="A749" s="94"/>
      <c r="B749" s="241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5.75" customHeight="1">
      <c r="A750" s="94"/>
      <c r="B750" s="241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5.75" customHeight="1">
      <c r="A751" s="94"/>
      <c r="B751" s="241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5.75" customHeight="1">
      <c r="A752" s="94"/>
      <c r="B752" s="241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5.75" customHeight="1">
      <c r="A753" s="94"/>
      <c r="B753" s="241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5.75" customHeight="1">
      <c r="A754" s="94"/>
      <c r="B754" s="241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5.75" customHeight="1">
      <c r="A755" s="94"/>
      <c r="B755" s="241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5.75" customHeight="1">
      <c r="A756" s="94"/>
      <c r="B756" s="241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5.75" customHeight="1">
      <c r="A757" s="94"/>
      <c r="B757" s="241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5.75" customHeight="1">
      <c r="A758" s="94"/>
      <c r="B758" s="241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5.75" customHeight="1">
      <c r="A759" s="94"/>
      <c r="B759" s="241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5.75" customHeight="1">
      <c r="A760" s="94"/>
      <c r="B760" s="241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5.75" customHeight="1">
      <c r="A761" s="94"/>
      <c r="B761" s="241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5.75" customHeight="1">
      <c r="A762" s="94"/>
      <c r="B762" s="241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5.75" customHeight="1">
      <c r="A763" s="94"/>
      <c r="B763" s="241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5.75" customHeight="1">
      <c r="A764" s="94"/>
      <c r="B764" s="241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5.75" customHeight="1">
      <c r="A765" s="94"/>
      <c r="B765" s="241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5.75" customHeight="1">
      <c r="A766" s="94"/>
      <c r="B766" s="241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5.75" customHeight="1">
      <c r="A767" s="94"/>
      <c r="B767" s="241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5.75" customHeight="1">
      <c r="A768" s="94"/>
      <c r="B768" s="241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5.75" customHeight="1">
      <c r="A769" s="94"/>
      <c r="B769" s="241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5.75" customHeight="1">
      <c r="A770" s="94"/>
      <c r="B770" s="241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5.75" customHeight="1">
      <c r="A771" s="94"/>
      <c r="B771" s="241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5.75" customHeight="1">
      <c r="A772" s="94"/>
      <c r="B772" s="241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5.75" customHeight="1">
      <c r="A773" s="94"/>
      <c r="B773" s="241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5.75" customHeight="1">
      <c r="A774" s="94"/>
      <c r="B774" s="241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5.75" customHeight="1">
      <c r="A775" s="94"/>
      <c r="B775" s="241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5.75" customHeight="1">
      <c r="A776" s="94"/>
      <c r="B776" s="241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5.75" customHeight="1">
      <c r="A777" s="94"/>
      <c r="B777" s="241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5.75" customHeight="1">
      <c r="A778" s="94"/>
      <c r="B778" s="241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5.75" customHeight="1">
      <c r="A779" s="94"/>
      <c r="B779" s="241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5.75" customHeight="1">
      <c r="A780" s="94"/>
      <c r="B780" s="241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5.75" customHeight="1">
      <c r="A781" s="94"/>
      <c r="B781" s="241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5.75" customHeight="1">
      <c r="A782" s="94"/>
      <c r="B782" s="241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5.75" customHeight="1">
      <c r="A783" s="94"/>
      <c r="B783" s="241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5.75" customHeight="1">
      <c r="A784" s="94"/>
      <c r="B784" s="241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5.75" customHeight="1">
      <c r="A785" s="94"/>
      <c r="B785" s="241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5.75" customHeight="1">
      <c r="A786" s="94"/>
      <c r="B786" s="241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5.75" customHeight="1">
      <c r="A787" s="94"/>
      <c r="B787" s="241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5.75" customHeight="1">
      <c r="A788" s="94"/>
      <c r="B788" s="241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5.75" customHeight="1">
      <c r="A789" s="94"/>
      <c r="B789" s="241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5.75" customHeight="1">
      <c r="A790" s="94"/>
      <c r="B790" s="241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5.75" customHeight="1">
      <c r="A791" s="94"/>
      <c r="B791" s="241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5.75" customHeight="1">
      <c r="A792" s="94"/>
      <c r="B792" s="241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5.75" customHeight="1">
      <c r="A793" s="94"/>
      <c r="B793" s="241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5.75" customHeight="1">
      <c r="A794" s="94"/>
      <c r="B794" s="241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5.75" customHeight="1">
      <c r="A795" s="94"/>
      <c r="B795" s="241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5.75" customHeight="1">
      <c r="A796" s="94"/>
      <c r="B796" s="241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5.75" customHeight="1">
      <c r="A797" s="94"/>
      <c r="B797" s="241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5.75" customHeight="1">
      <c r="A798" s="94"/>
      <c r="B798" s="241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5.75" customHeight="1">
      <c r="A799" s="94"/>
      <c r="B799" s="241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5.75" customHeight="1">
      <c r="A800" s="94"/>
      <c r="B800" s="241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5.75" customHeight="1">
      <c r="A801" s="94"/>
      <c r="B801" s="241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5.75" customHeight="1">
      <c r="A802" s="94"/>
      <c r="B802" s="241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5.75" customHeight="1">
      <c r="A803" s="94"/>
      <c r="B803" s="241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5.75" customHeight="1">
      <c r="A804" s="94"/>
      <c r="B804" s="241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5.75" customHeight="1">
      <c r="A805" s="94"/>
      <c r="B805" s="241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5.75" customHeight="1">
      <c r="A806" s="94"/>
      <c r="B806" s="241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5.75" customHeight="1">
      <c r="A807" s="94"/>
      <c r="B807" s="241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5.75" customHeight="1">
      <c r="A808" s="94"/>
      <c r="B808" s="241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5.75" customHeight="1">
      <c r="A809" s="94"/>
      <c r="B809" s="241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5.75" customHeight="1">
      <c r="A810" s="94"/>
      <c r="B810" s="241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5.75" customHeight="1">
      <c r="A811" s="94"/>
      <c r="B811" s="241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5.75" customHeight="1">
      <c r="A812" s="94"/>
      <c r="B812" s="241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5.75" customHeight="1">
      <c r="A813" s="94"/>
      <c r="B813" s="241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5.75" customHeight="1">
      <c r="A814" s="94"/>
      <c r="B814" s="241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5.75" customHeight="1">
      <c r="A815" s="94"/>
      <c r="B815" s="241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5.75" customHeight="1">
      <c r="A816" s="94"/>
      <c r="B816" s="241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5.75" customHeight="1">
      <c r="A817" s="94"/>
      <c r="B817" s="241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5.75" customHeight="1">
      <c r="A818" s="94"/>
      <c r="B818" s="241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5.75" customHeight="1">
      <c r="A819" s="94"/>
      <c r="B819" s="241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5.75" customHeight="1">
      <c r="A820" s="94"/>
      <c r="B820" s="241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5.75" customHeight="1">
      <c r="A821" s="94"/>
      <c r="B821" s="241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5.75" customHeight="1">
      <c r="A822" s="94"/>
      <c r="B822" s="241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5.75" customHeight="1">
      <c r="A823" s="94"/>
      <c r="B823" s="241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5.75" customHeight="1">
      <c r="A824" s="94"/>
      <c r="B824" s="241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5.75" customHeight="1">
      <c r="A825" s="94"/>
      <c r="B825" s="241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5.75" customHeight="1">
      <c r="A826" s="94"/>
      <c r="B826" s="241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5.75" customHeight="1">
      <c r="A827" s="94"/>
      <c r="B827" s="241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5.75" customHeight="1">
      <c r="A828" s="94"/>
      <c r="B828" s="241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5.75" customHeight="1">
      <c r="A829" s="94"/>
      <c r="B829" s="241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5.75" customHeight="1">
      <c r="A830" s="94"/>
      <c r="B830" s="241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5.75" customHeight="1">
      <c r="A831" s="94"/>
      <c r="B831" s="241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5.75" customHeight="1">
      <c r="A832" s="94"/>
      <c r="B832" s="241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5.75" customHeight="1">
      <c r="A833" s="94"/>
      <c r="B833" s="241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5.75" customHeight="1">
      <c r="A834" s="94"/>
      <c r="B834" s="241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5.75" customHeight="1">
      <c r="A835" s="94"/>
      <c r="B835" s="241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5.75" customHeight="1">
      <c r="A836" s="94"/>
      <c r="B836" s="241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5.75" customHeight="1">
      <c r="A837" s="94"/>
      <c r="B837" s="241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5.75" customHeight="1">
      <c r="A838" s="94"/>
      <c r="B838" s="241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5.75" customHeight="1">
      <c r="A839" s="94"/>
      <c r="B839" s="241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5.75" customHeight="1">
      <c r="A840" s="94"/>
      <c r="B840" s="241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5.75" customHeight="1">
      <c r="A841" s="94"/>
      <c r="B841" s="241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5.75" customHeight="1">
      <c r="A842" s="94"/>
      <c r="B842" s="241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5.75" customHeight="1">
      <c r="A843" s="94"/>
      <c r="B843" s="241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5.75" customHeight="1">
      <c r="A844" s="94"/>
      <c r="B844" s="241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5.75" customHeight="1">
      <c r="A845" s="94"/>
      <c r="B845" s="241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5.75" customHeight="1">
      <c r="A846" s="94"/>
      <c r="B846" s="241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5.75" customHeight="1">
      <c r="A847" s="94"/>
      <c r="B847" s="241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5.75" customHeight="1">
      <c r="A848" s="94"/>
      <c r="B848" s="241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5.75" customHeight="1">
      <c r="A849" s="94"/>
      <c r="B849" s="241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5.75" customHeight="1">
      <c r="A850" s="94"/>
      <c r="B850" s="241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5.75" customHeight="1">
      <c r="A851" s="94"/>
      <c r="B851" s="241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5.75" customHeight="1">
      <c r="A852" s="94"/>
      <c r="B852" s="241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5.75" customHeight="1">
      <c r="A853" s="94"/>
      <c r="B853" s="241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5.75" customHeight="1">
      <c r="A854" s="94"/>
      <c r="B854" s="241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5.75" customHeight="1">
      <c r="A855" s="94"/>
      <c r="B855" s="241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5.75" customHeight="1">
      <c r="A856" s="94"/>
      <c r="B856" s="241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5.75" customHeight="1">
      <c r="A857" s="94"/>
      <c r="B857" s="241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5.75" customHeight="1">
      <c r="A858" s="94"/>
      <c r="B858" s="241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5.75" customHeight="1">
      <c r="A859" s="94"/>
      <c r="B859" s="241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5.75" customHeight="1">
      <c r="A860" s="94"/>
      <c r="B860" s="241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5.75" customHeight="1">
      <c r="A861" s="94"/>
      <c r="B861" s="241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5.75" customHeight="1">
      <c r="A862" s="94"/>
      <c r="B862" s="241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5.75" customHeight="1">
      <c r="A863" s="94"/>
      <c r="B863" s="241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5.75" customHeight="1">
      <c r="A864" s="94"/>
      <c r="B864" s="241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5.75" customHeight="1">
      <c r="A865" s="94"/>
      <c r="B865" s="241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5.75" customHeight="1">
      <c r="A866" s="94"/>
      <c r="B866" s="241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5.75" customHeight="1">
      <c r="A867" s="94"/>
      <c r="B867" s="241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5.75" customHeight="1">
      <c r="A868" s="94"/>
      <c r="B868" s="241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5.75" customHeight="1">
      <c r="A869" s="94"/>
      <c r="B869" s="241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5.75" customHeight="1">
      <c r="A870" s="94"/>
      <c r="B870" s="241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5.75" customHeight="1">
      <c r="A871" s="94"/>
      <c r="B871" s="241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5.75" customHeight="1">
      <c r="A872" s="94"/>
      <c r="B872" s="241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5.75" customHeight="1">
      <c r="A873" s="94"/>
      <c r="B873" s="241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5.75" customHeight="1">
      <c r="A874" s="94"/>
      <c r="B874" s="241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5.75" customHeight="1">
      <c r="A875" s="94"/>
      <c r="B875" s="241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5.75" customHeight="1">
      <c r="A876" s="94"/>
      <c r="B876" s="241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5.75" customHeight="1">
      <c r="A877" s="94"/>
      <c r="B877" s="241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5.75" customHeight="1">
      <c r="A878" s="94"/>
      <c r="B878" s="241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5.75" customHeight="1">
      <c r="A879" s="94"/>
      <c r="B879" s="241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5.75" customHeight="1">
      <c r="A880" s="94"/>
      <c r="B880" s="241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5.75" customHeight="1">
      <c r="A881" s="94"/>
      <c r="B881" s="241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5.75" customHeight="1">
      <c r="A882" s="94"/>
      <c r="B882" s="241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5.75" customHeight="1">
      <c r="A883" s="94"/>
      <c r="B883" s="241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5.75" customHeight="1">
      <c r="A884" s="94"/>
      <c r="B884" s="241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5.75" customHeight="1">
      <c r="A885" s="94"/>
      <c r="B885" s="241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5.75" customHeight="1">
      <c r="A886" s="94"/>
      <c r="B886" s="241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5.75" customHeight="1">
      <c r="A887" s="94"/>
      <c r="B887" s="241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5.75" customHeight="1">
      <c r="A888" s="94"/>
      <c r="B888" s="241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5.75" customHeight="1">
      <c r="A889" s="94"/>
      <c r="B889" s="241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5.75" customHeight="1">
      <c r="A890" s="94"/>
      <c r="B890" s="241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5.75" customHeight="1">
      <c r="A891" s="94"/>
      <c r="B891" s="241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5.75" customHeight="1">
      <c r="A892" s="94"/>
      <c r="B892" s="241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5.75" customHeight="1">
      <c r="A893" s="94"/>
      <c r="B893" s="241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5.75" customHeight="1">
      <c r="A894" s="94"/>
      <c r="B894" s="241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5.75" customHeight="1">
      <c r="A895" s="94"/>
      <c r="B895" s="241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5.75" customHeight="1">
      <c r="A896" s="94"/>
      <c r="B896" s="241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5.75" customHeight="1">
      <c r="A897" s="94"/>
      <c r="B897" s="241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5.75" customHeight="1">
      <c r="A898" s="94"/>
      <c r="B898" s="241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5.75" customHeight="1">
      <c r="A899" s="94"/>
      <c r="B899" s="241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5.75" customHeight="1">
      <c r="A900" s="94"/>
      <c r="B900" s="241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5.75" customHeight="1">
      <c r="A901" s="94"/>
      <c r="B901" s="241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5.75" customHeight="1">
      <c r="A902" s="94"/>
      <c r="B902" s="241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5.75" customHeight="1">
      <c r="A903" s="94"/>
      <c r="B903" s="241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5.75" customHeight="1">
      <c r="A904" s="94"/>
      <c r="B904" s="241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5.75" customHeight="1">
      <c r="A905" s="94"/>
      <c r="B905" s="241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5.75" customHeight="1">
      <c r="A906" s="94"/>
      <c r="B906" s="241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5.75" customHeight="1">
      <c r="A907" s="94"/>
      <c r="B907" s="241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5.75" customHeight="1">
      <c r="A908" s="94"/>
      <c r="B908" s="241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5.75" customHeight="1">
      <c r="A909" s="94"/>
      <c r="B909" s="241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5.75" customHeight="1">
      <c r="A910" s="94"/>
      <c r="B910" s="241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5.75" customHeight="1">
      <c r="A911" s="94"/>
      <c r="B911" s="241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5.75" customHeight="1">
      <c r="A912" s="94"/>
      <c r="B912" s="241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5.75" customHeight="1">
      <c r="A913" s="94"/>
      <c r="B913" s="241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5.75" customHeight="1">
      <c r="A914" s="94"/>
      <c r="B914" s="241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5.75" customHeight="1">
      <c r="A915" s="94"/>
      <c r="B915" s="241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5.75" customHeight="1">
      <c r="A916" s="94"/>
      <c r="B916" s="241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5.75" customHeight="1">
      <c r="A917" s="94"/>
      <c r="B917" s="241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5.75" customHeight="1">
      <c r="A918" s="94"/>
      <c r="B918" s="241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5.75" customHeight="1">
      <c r="A919" s="94"/>
      <c r="B919" s="241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5.75" customHeight="1">
      <c r="A920" s="94"/>
      <c r="B920" s="241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5.75" customHeight="1">
      <c r="A921" s="94"/>
      <c r="B921" s="241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5.75" customHeight="1">
      <c r="A922" s="94"/>
      <c r="B922" s="241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5.75" customHeight="1">
      <c r="A923" s="94"/>
      <c r="B923" s="241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5.75" customHeight="1">
      <c r="A924" s="94"/>
      <c r="B924" s="241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5.75" customHeight="1">
      <c r="A925" s="94"/>
      <c r="B925" s="241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5.75" customHeight="1">
      <c r="A926" s="94"/>
      <c r="B926" s="241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5.75" customHeight="1">
      <c r="A927" s="94"/>
      <c r="B927" s="241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5.75" customHeight="1">
      <c r="A928" s="94"/>
      <c r="B928" s="241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5.75" customHeight="1">
      <c r="A929" s="94"/>
      <c r="B929" s="241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5.75" customHeight="1">
      <c r="A930" s="94"/>
      <c r="B930" s="241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5.75" customHeight="1">
      <c r="A931" s="94"/>
      <c r="B931" s="241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5.75" customHeight="1">
      <c r="A932" s="94"/>
      <c r="B932" s="241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5.75" customHeight="1">
      <c r="A933" s="94"/>
      <c r="B933" s="241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5.75" customHeight="1">
      <c r="A934" s="94"/>
      <c r="B934" s="241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5.75" customHeight="1">
      <c r="A935" s="94"/>
      <c r="B935" s="241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5.75" customHeight="1">
      <c r="A936" s="94"/>
      <c r="B936" s="241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5.75" customHeight="1">
      <c r="A937" s="94"/>
      <c r="B937" s="241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5.75" customHeight="1">
      <c r="A938" s="94"/>
      <c r="B938" s="241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5.75" customHeight="1">
      <c r="A939" s="94"/>
      <c r="B939" s="241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5.75" customHeight="1">
      <c r="A940" s="94"/>
      <c r="B940" s="241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5.75" customHeight="1">
      <c r="A941" s="94"/>
      <c r="B941" s="241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5.75" customHeight="1">
      <c r="A942" s="94"/>
      <c r="B942" s="241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5.75" customHeight="1">
      <c r="A943" s="94"/>
      <c r="B943" s="241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5.75" customHeight="1">
      <c r="A944" s="94"/>
      <c r="B944" s="241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5.75" customHeight="1">
      <c r="A945" s="94"/>
      <c r="B945" s="241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5.75" customHeight="1">
      <c r="A946" s="94"/>
      <c r="B946" s="241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5.75" customHeight="1">
      <c r="A947" s="94"/>
      <c r="B947" s="241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5.75" customHeight="1">
      <c r="A948" s="94"/>
      <c r="B948" s="241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5.75" customHeight="1">
      <c r="A949" s="94"/>
      <c r="B949" s="241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5.75" customHeight="1">
      <c r="A950" s="94"/>
      <c r="B950" s="241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5.75" customHeight="1">
      <c r="A951" s="94"/>
      <c r="B951" s="241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5.75" customHeight="1">
      <c r="A952" s="94"/>
      <c r="B952" s="241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5.75" customHeight="1">
      <c r="A953" s="94"/>
      <c r="B953" s="241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5.75" customHeight="1">
      <c r="A954" s="94"/>
      <c r="B954" s="241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5.75" customHeight="1">
      <c r="A955" s="94"/>
      <c r="B955" s="241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5.75" customHeight="1">
      <c r="A956" s="94"/>
      <c r="B956" s="241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5.75" customHeight="1">
      <c r="A957" s="94"/>
      <c r="B957" s="241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5.75" customHeight="1">
      <c r="A958" s="94"/>
      <c r="B958" s="241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5.75" customHeight="1">
      <c r="A959" s="94"/>
      <c r="B959" s="241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5.75" customHeight="1">
      <c r="A960" s="94"/>
      <c r="B960" s="241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5.75" customHeight="1">
      <c r="A961" s="94"/>
      <c r="B961" s="241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5.75" customHeight="1">
      <c r="A962" s="94"/>
      <c r="B962" s="241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5.75" customHeight="1">
      <c r="A963" s="94"/>
      <c r="B963" s="241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5.75" customHeight="1">
      <c r="A964" s="94"/>
      <c r="B964" s="241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5.75" customHeight="1">
      <c r="A965" s="94"/>
      <c r="B965" s="241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5.75" customHeight="1">
      <c r="A966" s="94"/>
      <c r="B966" s="241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5.75" customHeight="1">
      <c r="A967" s="94"/>
      <c r="B967" s="241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5.75" customHeight="1">
      <c r="A968" s="94"/>
      <c r="B968" s="241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5.75" customHeight="1">
      <c r="A969" s="94"/>
      <c r="B969" s="241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5.75" customHeight="1">
      <c r="A970" s="94"/>
      <c r="B970" s="241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5.75" customHeight="1">
      <c r="A971" s="94"/>
      <c r="B971" s="241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5.75" customHeight="1">
      <c r="A972" s="94"/>
      <c r="B972" s="241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5.75" customHeight="1">
      <c r="A973" s="94"/>
      <c r="B973" s="241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5.75" customHeight="1">
      <c r="A974" s="94"/>
      <c r="B974" s="241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5.75" customHeight="1">
      <c r="A975" s="94"/>
      <c r="B975" s="241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5.75" customHeight="1">
      <c r="A976" s="94"/>
      <c r="B976" s="241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5.75" customHeight="1">
      <c r="A977" s="94"/>
      <c r="B977" s="241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5.75" customHeight="1">
      <c r="A978" s="94"/>
      <c r="B978" s="241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5.75" customHeight="1">
      <c r="A979" s="94"/>
      <c r="B979" s="241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5.75" customHeight="1">
      <c r="A980" s="94"/>
      <c r="B980" s="241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5.75" customHeight="1">
      <c r="A981" s="94"/>
      <c r="B981" s="241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5.75" customHeight="1">
      <c r="A982" s="94"/>
      <c r="B982" s="241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5.75" customHeight="1">
      <c r="A983" s="94"/>
      <c r="B983" s="241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5.75" customHeight="1">
      <c r="A984" s="94"/>
      <c r="B984" s="241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5.75" customHeight="1">
      <c r="A985" s="94"/>
      <c r="B985" s="241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5.75" customHeight="1">
      <c r="A986" s="94"/>
      <c r="B986" s="241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5.75" customHeight="1">
      <c r="A987" s="94"/>
      <c r="B987" s="241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5.75" customHeight="1">
      <c r="A988" s="94"/>
      <c r="B988" s="241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5.75" customHeight="1">
      <c r="A989" s="94"/>
      <c r="B989" s="241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5.75" customHeight="1">
      <c r="A990" s="94"/>
      <c r="B990" s="241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5.75" customHeight="1">
      <c r="A991" s="94"/>
      <c r="B991" s="241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5.75" customHeight="1">
      <c r="A992" s="94"/>
      <c r="B992" s="241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5.75" customHeight="1">
      <c r="A993" s="94"/>
      <c r="B993" s="241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5.75" customHeight="1">
      <c r="A994" s="94"/>
      <c r="B994" s="241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5.75" customHeight="1">
      <c r="A995" s="94"/>
      <c r="B995" s="241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5.75" customHeight="1">
      <c r="A996" s="94"/>
      <c r="B996" s="241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5.75" customHeight="1">
      <c r="A997" s="94"/>
      <c r="B997" s="241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5.75" customHeight="1">
      <c r="A998" s="94"/>
      <c r="B998" s="241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5.75" customHeight="1">
      <c r="A999" s="94"/>
      <c r="B999" s="241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5.75" customHeight="1">
      <c r="A1000" s="94"/>
      <c r="B1000" s="241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2024-07-31T04:27:47Z</dcterms:created>
</cp:coreProperties>
</file>