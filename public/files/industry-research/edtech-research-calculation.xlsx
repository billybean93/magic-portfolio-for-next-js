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ndscape" sheetId="1" r:id="rId4"/>
    <sheet state="visible" name="TAM" sheetId="2" r:id="rId5"/>
    <sheet state="visible" name="Growth" sheetId="3" r:id="rId6"/>
    <sheet state="visible" name="Investment opportunity" sheetId="4" r:id="rId7"/>
    <sheet state="visible" name="ARPU Ref" sheetId="5" r:id="rId8"/>
    <sheet state="visible" name="Sources - Charts" sheetId="6" r:id="rId9"/>
  </sheets>
  <definedNames/>
  <calcPr/>
  <extLst>
    <ext uri="GoogleSheetsCustomDataVersion2">
      <go:sheetsCustomData xmlns:go="http://customooxmlschemas.google.com/" r:id="rId10" roundtripDataChecksum="OszI1dGRwEf9HfEzOLJNcjVZ75EfXYyrgJyz8EUau5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8">
      <text>
        <t xml:space="preserve">======
ID#AAABzDAN1Zk
tc={30081048-5D68-9741-BE0F-3E61F8281E94}    (2026-01-26 14:45:10)
[Threaded comment]
Your version of Excel allows you to read this threaded comment; however, any edits to it will get removed if the file is opened in a newer version of Excel. Learn more: https://go.microsoft.com/fwlink/?linkid=870924
Comment:
    take tertiary enrollment rate as a proxy</t>
      </text>
    </comment>
    <comment authorId="0" ref="E9">
      <text>
        <t xml:space="preserve">======
ID#AAABzDAN1ZY
tc={140FF854-2685-0742-8FC3-C246F23D6CBB}    (2026-01-26 14:45:10)
[Threaded comment]
Your version of Excel allows you to read this threaded comment; however, any edits to it will get removed if the file is opened in a newer version of Excel. Learn more: https://go.microsoft.com/fwlink/?linkid=870924
Comment:
    we take # students x according completion rates as reported by unicef</t>
      </text>
    </comment>
    <comment authorId="0" ref="E17">
      <text>
        <t xml:space="preserve">======
ID#AAABzDAN1ZU
tc={C9373C40-AE68-4A43-B20C-BD5E349A50A6}    (2026-01-26 14:45:10)
[Threaded comment]
Your version of Excel allows you to read this threaded comment; however, any edits to it will get removed if the file is opened in a newer version of Excel. Learn more: https://go.microsoft.com/fwlink/?linkid=870924
Comment:
    take # students * the market share of top 6 dominante english learning centers</t>
      </text>
    </comment>
    <comment authorId="0" ref="E19">
      <text>
        <t xml:space="preserve">======
ID#AAABzDAN1ZQ
tc={FF481C80-A1A7-A247-AC6C-FFF186204B1D}    (2026-01-26 14:45:10)
[Threaded comment]
Your version of Excel allows you to read this threaded comment; however, any edits to it will get removed if the file is opened in a newer version of Excel. Learn more: https://go.microsoft.com/fwlink/?linkid=870924
Comment:
    % of them actually enrol for education (either offline or thru mobile app)</t>
      </text>
    </comment>
    <comment authorId="0" ref="E16">
      <text>
        <t xml:space="preserve">======
ID#AAABzDAN1ZI
tc={66A14536-34CE-C442-BE87-617FA310E1B3}    (2026-01-26 14:45:10)
[Threaded comment]
Your version of Excel allows you to read this threaded comment; however, any edits to it will get removed if the file is opened in a newer version of Excel. Learn more: https://go.microsoft.com/fwlink/?linkid=870924
Comment:
    pre-school, K-12, higher edu, post grad</t>
      </text>
    </comment>
  </commentList>
  <extLst>
    <ext uri="GoogleSheetsCustomDataVersion2">
      <go:sheetsCustomData xmlns:go="http://customooxmlschemas.google.com/" r:id="rId1" roundtripDataSignature="AMtx7mgW5FGq5WM9w5iwZtwyusLvevRDn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7">
      <text>
        <t xml:space="preserve">======
ID#AAABzDAN1Zs
tc={18F74E1E-8C9D-D147-B476-031235BDAC88}    (2026-01-26 14:45:10)
[Threaded comment]
Your version of Excel allows you to read this threaded comment; however, any edits to it will get removed if the file is opened in a newer version of Excel. Learn more: https://go.microsoft.com/fwlink/?linkid=870924
Comment:
    take # students * the market share of top 6 dominante english learning centers</t>
      </text>
    </comment>
    <comment authorId="0" ref="E16">
      <text>
        <t xml:space="preserve">======
ID#AAABzDAN1Zo
tc={60B26C97-5A07-E24C-99A2-84978398194D}    (2026-01-26 14:45:10)
[Threaded comment]
Your version of Excel allows you to read this threaded comment; however, any edits to it will get removed if the file is opened in a newer version of Excel. Learn more: https://go.microsoft.com/fwlink/?linkid=870924
Comment:
    pre-school, K-12, higher edu, post grad</t>
      </text>
    </comment>
    <comment authorId="0" ref="E18">
      <text>
        <t xml:space="preserve">======
ID#AAABzDAN1Zg
tc={789DF87E-EAB7-8D4A-BC58-7F19D49B489F}    (2026-01-26 14:45:10)
[Threaded comment]
Your version of Excel allows you to read this threaded comment; however, any edits to it will get removed if the file is opened in a newer version of Excel. Learn more: https://go.microsoft.com/fwlink/?linkid=870924
Comment:
    take tertiary enrollment rate as a proxy</t>
      </text>
    </comment>
    <comment authorId="0" ref="E9">
      <text>
        <t xml:space="preserve">======
ID#AAABzDAN1Zc
tc={E6243358-4E6F-B243-A0B4-75D49908DE12}    (2026-01-26 14:45:10)
[Threaded comment]
Your version of Excel allows you to read this threaded comment; however, any edits to it will get removed if the file is opened in a newer version of Excel. Learn more: https://go.microsoft.com/fwlink/?linkid=870924
Comment:
    we take # students x according completion rates as reported by unicef</t>
      </text>
    </comment>
    <comment authorId="0" ref="E19">
      <text>
        <t xml:space="preserve">======
ID#AAABzDAN1ZM
tc={FE6E7CEE-59BD-014F-93F9-A2E738F644AD}    (2026-01-26 14:45:10)
[Threaded comment]
Your version of Excel allows you to read this threaded comment; however, any edits to it will get removed if the file is opened in a newer version of Excel. Learn more: https://go.microsoft.com/fwlink/?linkid=870924
Comment:
    % of them actually enrol for education (either offline or thru mobile app)</t>
      </text>
    </comment>
  </commentList>
  <extLst>
    <ext uri="GoogleSheetsCustomDataVersion2">
      <go:sheetsCustomData xmlns:go="http://customooxmlschemas.google.com/" r:id="rId1" roundtripDataSignature="AMtx7mjXrsHQG1x+GNMaWMCT325Fc2N0qA=="/>
    </ext>
  </extLst>
</comments>
</file>

<file path=xl/sharedStrings.xml><?xml version="1.0" encoding="utf-8"?>
<sst xmlns="http://schemas.openxmlformats.org/spreadsheetml/2006/main" count="192" uniqueCount="94">
  <si>
    <t xml:space="preserve">EDTECH MARKET SENTIMENTS: </t>
  </si>
  <si>
    <t xml:space="preserve">For: </t>
  </si>
  <si>
    <t xml:space="preserve">(1) Greater parental contributions and attentions to their children educational attaintment 
(2) Confidence from capital inflow. Together with rising gov budget/expenditure for education, the industry is shifting towards digital integration. 
(3) High digital penetration rate: ~78% of Vietnam population (79,9 mn online users); the figure is 68% for rural areas. </t>
  </si>
  <si>
    <t xml:space="preserve">Against: </t>
  </si>
  <si>
    <t xml:space="preserve">(1) Negative unit economics and unsustainable models: freemium model does not work lead to high burn rate: many edtech startups are encountered cash shortage due to high CAC, low LTV.
(2) Immature monetization behaiviour: as the norms of learning has yet shifted to fully online, edtech startups are enforeced to end up with blended mode which leading to higher investment and operational inefficiency (compared to traditional model)
</t>
  </si>
  <si>
    <t>Edtech Key Segments:</t>
  </si>
  <si>
    <t>TAM</t>
  </si>
  <si>
    <t>RANK</t>
  </si>
  <si>
    <t>K-12 Learning</t>
  </si>
  <si>
    <t>$</t>
  </si>
  <si>
    <t>Foreign language/STEAM Learning</t>
  </si>
  <si>
    <t>Professional Training</t>
  </si>
  <si>
    <t>Management system/LMS</t>
  </si>
  <si>
    <t xml:space="preserve">&gt;&gt; not be ranked as this segment has high level of pricing variance and distribution B2B/2G is challenging for private players. </t>
  </si>
  <si>
    <t>Vietnam Edtech Makret</t>
  </si>
  <si>
    <t>&gt;&gt; CAGR</t>
  </si>
  <si>
    <t>Students (4 - 17 yrs old)</t>
  </si>
  <si>
    <t>#</t>
  </si>
  <si>
    <t>https://tradingeconomics.com/vietnam/primary-education-pupils-wb-data.html</t>
  </si>
  <si>
    <t>https://data.unicef.org/wp-content/uploads/2022/12/Viet-Nam_Factsheet_21-DecFINAL.pdf</t>
  </si>
  <si>
    <t>Digital penetration rate</t>
  </si>
  <si>
    <t>%</t>
  </si>
  <si>
    <t>https://datareportal.com/reports/digital-2025-vietnam</t>
  </si>
  <si>
    <t>Average educational spending</t>
  </si>
  <si>
    <t>https://www.vietnam.vn/en/phu-huynh-chi-bao-nhieu-tien-cho-con-di-hoc-them</t>
  </si>
  <si>
    <t>Urban population of Vietnam</t>
  </si>
  <si>
    <t>https://tiesea.org/vietnam/#:~:text=STATISTICS,East%20Asia%20region%20(2021).</t>
  </si>
  <si>
    <t xml:space="preserve"># students </t>
  </si>
  <si>
    <t>K-12</t>
  </si>
  <si>
    <t>https://www.slideshare.net/slideshow/vietnam-language-learning-behaviors/249514419</t>
  </si>
  <si>
    <t>Higher Education</t>
  </si>
  <si>
    <t>https://www.educationfair.net/market-reports/asia/vietnam/</t>
  </si>
  <si>
    <t>Professionals/Post-grad</t>
  </si>
  <si>
    <t>https://www.nso.gov.vn/en/px-web/?pxid=E0241&amp;theme=Population%20and%20Employment</t>
  </si>
  <si>
    <t>Average tuition fee per enrollment</t>
  </si>
  <si>
    <t>Average subscription</t>
  </si>
  <si>
    <t>https://www.crossroadsvn.com/bridging-vietnams-skills-gap-with-abl/#:~:text=A%202023%20World%20Bank%20study,soft%20skills%20as%20major%20gaps.</t>
  </si>
  <si>
    <t>Assuming that highly skilled workforce (11% of total labor force) would train via online platform while low-skilled will join program</t>
  </si>
  <si>
    <t>https://impact.economist.com/new-globalisation/bridging-skills-gap-fuelling-careers-and-economy-vietnam</t>
  </si>
  <si>
    <t>Average educational spending (Subs)</t>
  </si>
  <si>
    <t>Average educational spending (Blended Education)</t>
  </si>
  <si>
    <t>Management system/LMS/Platform</t>
  </si>
  <si>
    <t>World LMS's market TAM</t>
  </si>
  <si>
    <t>Assume by taking % of Vietnam edtech market to global edtech market</t>
  </si>
  <si>
    <t>Key assumptions:</t>
  </si>
  <si>
    <t>1) Edtech in Vietnam has 4 major segments with # revenue models: (1) Subscriptions - cheaper, (2) tuition fee (traditional)</t>
  </si>
  <si>
    <t xml:space="preserve">2) Despite 78% digital penetration rate, Vietnam Edtech players even major players like Edupia only has 8% conversion rate, indicating the lack of monetization maturity. For that reason, we expect to focus on the urban population reach. </t>
  </si>
  <si>
    <t xml:space="preserve">3) ARPU is subjected to the population size and reference quality, it might be different in real life. </t>
  </si>
  <si>
    <t>∆</t>
  </si>
  <si>
    <t>https://archive.opengovasia.com/2025/02/15/digital-transformation-vietnams-key-driver-for-growth/</t>
  </si>
  <si>
    <t xml:space="preserve">&gt;&gt; inflation adjusted only </t>
  </si>
  <si>
    <t xml:space="preserve">INVESTMENT OPPORTUNITY: </t>
  </si>
  <si>
    <t>Company Name:</t>
  </si>
  <si>
    <t>REACH Academy (website: https://www.reach-vietnam.org/vi)</t>
  </si>
  <si>
    <t>Business model:</t>
  </si>
  <si>
    <t xml:space="preserve">An end-to-end educational institutions that provide vocational practice to underseved youth with online platform for job-matching and online classes. REACH has 3 entities, 1 of which serves as an NPO while 2 remaining focus on operate for fee-paying students. </t>
  </si>
  <si>
    <t>Revenue model:</t>
  </si>
  <si>
    <t>Tuition fee</t>
  </si>
  <si>
    <t xml:space="preserve">Investment rationale: </t>
  </si>
  <si>
    <r>
      <rPr>
        <rFont val="Aptos"/>
        <b/>
        <color theme="1"/>
        <sz val="12.0"/>
      </rPr>
      <t>(1) Market sentiment</t>
    </r>
    <r>
      <rPr>
        <rFont val="Aptos"/>
        <color theme="1"/>
        <sz val="12.0"/>
      </rPr>
      <t xml:space="preserve">: market pain points in unskilled employees. Expect to earn 100K graduates over 5 years. 
</t>
    </r>
    <r>
      <rPr>
        <rFont val="Aptos"/>
        <b/>
        <color theme="1"/>
        <sz val="12.0"/>
      </rPr>
      <t>(2) Downside risk control:</t>
    </r>
    <r>
      <rPr>
        <rFont val="Aptos"/>
        <color theme="1"/>
        <sz val="12.0"/>
      </rPr>
      <t xml:space="preserve"> As Reach Academy has commercial entities to back their costs and also be able to utilize current resources to minimize burn (high CAC)
</t>
    </r>
    <r>
      <rPr>
        <rFont val="Aptos"/>
        <b/>
        <color theme="1"/>
        <sz val="12.0"/>
      </rPr>
      <t xml:space="preserve">(3) Strong network effects: </t>
    </r>
    <r>
      <rPr>
        <rFont val="Aptos"/>
        <color theme="1"/>
        <sz val="12.0"/>
      </rPr>
      <t xml:space="preserve">Reach Academy graduates could be directly work at Reach Holdings businesses together with online job-matching platform built based on their partnerships -&gt; High value creation/chain. </t>
    </r>
  </si>
  <si>
    <r>
      <rPr>
        <rFont val="Aptos"/>
        <b/>
        <color theme="1"/>
        <sz val="12.0"/>
      </rPr>
      <t>(1) Relatively asset-heavy model:</t>
    </r>
    <r>
      <rPr>
        <rFont val="Aptos"/>
        <color theme="1"/>
        <sz val="12.0"/>
      </rPr>
      <t xml:space="preserve"> this requires major upfront investment but relatively slower ROI (like traditional education/schooling).
</t>
    </r>
    <r>
      <rPr>
        <rFont val="Aptos"/>
        <b/>
        <color theme="1"/>
        <sz val="12.0"/>
      </rPr>
      <t xml:space="preserve">(2) USP in technology development/utilization: </t>
    </r>
    <r>
      <rPr>
        <rFont val="Aptos"/>
        <color theme="1"/>
        <sz val="12.0"/>
      </rPr>
      <t xml:space="preserve">tech layer within the academy together with vocational students require longer time span to really contribute to flywheel effects. </t>
    </r>
  </si>
  <si>
    <t>Company deck</t>
  </si>
  <si>
    <t>https://global-inst.com/projects/2019_VietnamGLP_Upskilling_to_Transform_the_Vietnamese_Economy.pdf</t>
  </si>
  <si>
    <t>Ref FX</t>
  </si>
  <si>
    <t xml:space="preserve">ILA </t>
  </si>
  <si>
    <t>https://edu2review.com/reviews/so-sanh-hoc-phi-vus-hay-ila-cao-hon-1357.html</t>
  </si>
  <si>
    <t>VUS</t>
  </si>
  <si>
    <t>Ocean Edu</t>
  </si>
  <si>
    <t>https://edu2review.com/reviews/cap-nhat-hoc-phi-khoa-tieng-anh-tre-em-ocean-edu-14016.html</t>
  </si>
  <si>
    <t>Apollo</t>
  </si>
  <si>
    <t>https://apollo.edu.vn/tin-tuc-va-su-kien/cong-khai-hoc-phi-2024</t>
  </si>
  <si>
    <t>BC</t>
  </si>
  <si>
    <t xml:space="preserve">Real reference </t>
  </si>
  <si>
    <t>English Ms.Hoa</t>
  </si>
  <si>
    <t>https://www.anhngumshoa.com/tin-tuc/khoa-hoc-toeic-lo-trinh-khoa-hoc-tai-anh-ngu-ms-hoa-37374.html</t>
  </si>
  <si>
    <t xml:space="preserve">Elsa </t>
  </si>
  <si>
    <t>https://vn.elsaspeak.com/product-detail/elsa-premium-1-thang/?srsltid=AfmBOooqVbBjs6E-y-Zk4rX5Yr8BtuHypVpmz4nTTZOfm4d-Lj29LdTR</t>
  </si>
  <si>
    <t>Duolingo</t>
  </si>
  <si>
    <t>https://vi.duolingo.com/super</t>
  </si>
  <si>
    <t>Busuu</t>
  </si>
  <si>
    <t>https://www.busuu.com/products/en</t>
  </si>
  <si>
    <t>Cake</t>
  </si>
  <si>
    <t>https://apps.apple.com/vn/app/cake-h%E1%BB%8Dc-ti%E1%BA%BFng-anh-h%C3%A0n/id1350420987?l=vi</t>
  </si>
  <si>
    <t>Eng Breaking</t>
  </si>
  <si>
    <t>Coursera</t>
  </si>
  <si>
    <t>Udemy</t>
  </si>
  <si>
    <t>Linkedin Learning</t>
  </si>
  <si>
    <t>Government budget to upskill</t>
  </si>
  <si>
    <t>https://vietnamnews.vn/society/1666472/viet-nam-s-low-skilled-workers-hesitate-to-retrain.html#:~:text=Deputy%20Director%20of%20the%20H%C3%A0,support%20and%20extended%20course%20durations.</t>
  </si>
  <si>
    <t>Reach Academy</t>
  </si>
  <si>
    <t>No.</t>
  </si>
  <si>
    <t>Reference list:</t>
  </si>
  <si>
    <t>https://documents1.worldbank.org/curated/en/261401596433155112/pdf/Vietnam-s-Human-Capital-Education-Success-and-Future-Challenges.pdf</t>
  </si>
  <si>
    <t>https://en.baochinhphu.vn/viet-nam-to-increase-states-expenditure-on-education-to-at-least-20-111250827221440821.htm</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</si>
</sst>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_(* #,##0_);_(* \(#,##0\);_(* &quot;-&quot;_);_(@_)"/>
    <numFmt numFmtId="165" formatCode="_(* #,##0_);_(* \(#,##0\);_(* &quot;-&quot;??_);_(@_)"/>
    <numFmt numFmtId="166" formatCode="_(* #,##0.00_);_(* \(#,##0.00\);_(* &quot;-&quot;_);_(@_)"/>
    <numFmt numFmtId="167" formatCode="_(&quot;₫&quot;* #,##0_);_(&quot;₫&quot;* \(#,##0\);_(&quot;₫&quot;* &quot;-&quot;_);_(@_)"/>
  </numFmts>
  <fonts count="12">
    <font>
      <sz val="12.0"/>
      <color theme="1"/>
      <name val="Aptos Narrow"/>
      <scheme val="minor"/>
    </font>
    <font>
      <b/>
      <sz val="12.0"/>
      <color rgb="FFFFFFFF"/>
      <name val="Aptos"/>
    </font>
    <font>
      <sz val="12.0"/>
      <color rgb="FFFFFFFF"/>
      <name val="Aptos"/>
    </font>
    <font>
      <sz val="12.0"/>
      <color theme="1"/>
      <name val="Aptos"/>
    </font>
    <font>
      <u/>
      <sz val="12.0"/>
      <color theme="10"/>
      <name val="Aptos Narrow"/>
    </font>
    <font>
      <sz val="12.0"/>
      <color theme="1"/>
      <name val="Aptos Narrow"/>
    </font>
    <font>
      <b/>
      <sz val="12.0"/>
      <color theme="1"/>
      <name val="Aptos Narrow"/>
    </font>
    <font>
      <b/>
      <sz val="14.0"/>
      <color theme="1"/>
      <name val="Aptos Narrow"/>
    </font>
    <font>
      <b/>
      <sz val="12.0"/>
      <color rgb="FFFF0000"/>
      <name val="Aptos Narrow"/>
    </font>
    <font>
      <u/>
      <sz val="12.0"/>
      <color theme="10"/>
      <name val="Aptos Narrow"/>
    </font>
    <font>
      <sz val="12.0"/>
      <color rgb="FF000000"/>
      <name val="Aptos Narrow"/>
    </font>
    <font>
      <b/>
      <sz val="12.0"/>
      <color theme="1"/>
      <name val="Aptos"/>
    </font>
  </fonts>
  <fills count="9">
    <fill>
      <patternFill patternType="none"/>
    </fill>
    <fill>
      <patternFill patternType="lightGray"/>
    </fill>
    <fill>
      <patternFill patternType="solid">
        <fgColor rgb="FF002060"/>
        <bgColor rgb="FF002060"/>
      </patternFill>
    </fill>
    <fill>
      <patternFill patternType="solid">
        <fgColor rgb="FFFFFFFF"/>
        <bgColor rgb="FFFFFFFF"/>
      </patternFill>
    </fill>
    <fill>
      <patternFill patternType="solid">
        <fgColor rgb="FFD9F2D0"/>
        <bgColor rgb="FFD9F2D0"/>
      </patternFill>
    </fill>
    <fill>
      <patternFill patternType="solid">
        <fgColor rgb="FFF6C6AC"/>
        <bgColor rgb="FFF6C6AC"/>
      </patternFill>
    </fill>
    <fill>
      <patternFill patternType="solid">
        <fgColor theme="0"/>
        <bgColor theme="0"/>
      </patternFill>
    </fill>
    <fill>
      <patternFill patternType="solid">
        <fgColor rgb="FF63BE7B"/>
        <bgColor rgb="FF63BE7B"/>
      </patternFill>
    </fill>
    <fill>
      <patternFill patternType="solid">
        <fgColor rgb="FFFFFF00"/>
        <bgColor rgb="FFFFFF00"/>
      </patternFill>
    </fill>
  </fills>
  <borders count="3">
    <border/>
    <border>
      <left/>
      <right/>
      <top/>
      <bottom/>
    </border>
    <border>
      <left/>
      <right/>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3" fontId="3" numFmtId="0" xfId="0" applyBorder="1" applyFill="1" applyFont="1"/>
    <xf borderId="1" fillId="4" fontId="3" numFmtId="0" xfId="0" applyAlignment="1" applyBorder="1" applyFill="1" applyFont="1">
      <alignment horizontal="left" vertical="top"/>
    </xf>
    <xf borderId="1" fillId="3" fontId="3" numFmtId="0" xfId="0" applyAlignment="1" applyBorder="1" applyFont="1">
      <alignment shrinkToFit="0" wrapText="1"/>
    </xf>
    <xf borderId="1" fillId="3" fontId="4" numFmtId="0" xfId="0" applyBorder="1" applyFont="1"/>
    <xf borderId="1" fillId="5" fontId="3" numFmtId="0" xfId="0" applyAlignment="1" applyBorder="1" applyFill="1" applyFont="1">
      <alignment horizontal="left" vertical="top"/>
    </xf>
    <xf borderId="1" fillId="6" fontId="5" numFmtId="0" xfId="0" applyBorder="1" applyFill="1" applyFont="1"/>
    <xf borderId="1" fillId="6" fontId="6" numFmtId="0" xfId="0" applyBorder="1" applyFont="1"/>
    <xf borderId="1" fillId="6" fontId="6" numFmtId="0" xfId="0" applyAlignment="1" applyBorder="1" applyFont="1">
      <alignment horizontal="right"/>
    </xf>
    <xf borderId="1" fillId="6" fontId="5" numFmtId="164" xfId="0" applyBorder="1" applyFont="1" applyNumberFormat="1"/>
    <xf borderId="1" fillId="7" fontId="5" numFmtId="0" xfId="0" applyBorder="1" applyFill="1" applyFont="1"/>
    <xf borderId="1" fillId="7" fontId="5" numFmtId="165" xfId="0" applyBorder="1" applyFont="1" applyNumberFormat="1"/>
    <xf borderId="1" fillId="6" fontId="5" numFmtId="9" xfId="0" applyBorder="1" applyFont="1" applyNumberFormat="1"/>
    <xf borderId="1" fillId="8" fontId="7" numFmtId="0" xfId="0" applyBorder="1" applyFill="1" applyFont="1"/>
    <xf borderId="1" fillId="8" fontId="7" numFmtId="164" xfId="0" applyBorder="1" applyFont="1" applyNumberFormat="1"/>
    <xf borderId="1" fillId="6" fontId="8" numFmtId="9" xfId="0" applyBorder="1" applyFont="1" applyNumberFormat="1"/>
    <xf borderId="1" fillId="6" fontId="7" numFmtId="0" xfId="0" applyBorder="1" applyFont="1"/>
    <xf borderId="1" fillId="6" fontId="7" numFmtId="164" xfId="0" applyBorder="1" applyFont="1" applyNumberFormat="1"/>
    <xf borderId="1" fillId="6" fontId="9" numFmtId="0" xfId="0" applyBorder="1" applyFont="1"/>
    <xf borderId="1" fillId="6" fontId="5" numFmtId="10" xfId="0" applyBorder="1" applyFont="1" applyNumberFormat="1"/>
    <xf borderId="1" fillId="6" fontId="5" numFmtId="0" xfId="0" applyAlignment="1" applyBorder="1" applyFont="1">
      <alignment horizontal="left"/>
    </xf>
    <xf borderId="1" fillId="6" fontId="5" numFmtId="166" xfId="0" applyBorder="1" applyFont="1" applyNumberFormat="1"/>
    <xf borderId="1" fillId="6" fontId="7" numFmtId="165" xfId="0" applyBorder="1" applyFont="1" applyNumberFormat="1"/>
    <xf borderId="1" fillId="3" fontId="10" numFmtId="0" xfId="0" applyAlignment="1" applyBorder="1" applyFont="1">
      <alignment horizontal="left"/>
    </xf>
    <xf borderId="1" fillId="6" fontId="8" numFmtId="0" xfId="0" applyBorder="1" applyFont="1"/>
    <xf borderId="1" fillId="3" fontId="5" numFmtId="0" xfId="0" applyBorder="1" applyFont="1"/>
    <xf borderId="1" fillId="3" fontId="5" numFmtId="165" xfId="0" applyBorder="1" applyFont="1" applyNumberFormat="1"/>
    <xf borderId="1" fillId="3" fontId="5" numFmtId="10" xfId="0" applyBorder="1" applyFont="1" applyNumberFormat="1"/>
    <xf borderId="1" fillId="3" fontId="5" numFmtId="164" xfId="0" applyBorder="1" applyFont="1" applyNumberFormat="1"/>
    <xf borderId="1" fillId="3" fontId="11" numFmtId="0" xfId="0" applyAlignment="1" applyBorder="1" applyFont="1">
      <alignment vertical="top"/>
    </xf>
    <xf borderId="1" fillId="3" fontId="3" numFmtId="0" xfId="0" applyAlignment="1" applyBorder="1" applyFont="1">
      <alignment vertical="top"/>
    </xf>
    <xf borderId="1" fillId="3" fontId="3" numFmtId="0" xfId="0" applyAlignment="1" applyBorder="1" applyFont="1">
      <alignment shrinkToFit="0" vertical="top" wrapText="1"/>
    </xf>
    <xf borderId="1" fillId="3" fontId="11" numFmtId="0" xfId="0" applyBorder="1" applyFont="1"/>
    <xf borderId="1" fillId="6" fontId="5" numFmtId="167" xfId="0" applyBorder="1" applyFont="1" applyNumberFormat="1"/>
    <xf borderId="2" fillId="6" fontId="6" numFmtId="0" xfId="0" applyBorder="1" applyFont="1"/>
    <xf borderId="2" fillId="6" fontId="5"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tradingeconomics.com/vietnam/primary-education-pupils-wb-data.html" TargetMode="External"/><Relationship Id="rId3" Type="http://schemas.openxmlformats.org/officeDocument/2006/relationships/hyperlink" Target="https://data.unicef.org/wp-content/uploads/2022/12/Viet-Nam_Factsheet_21-DecFINAL.pdf" TargetMode="Externa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global-inst.com/projects/2019_VietnamGLP_Upskilling_to_Transform_the_Vietnamese_Economy.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global-inst.com/projects/2019_VietnamGLP_Upskilling_to_Transform_the_Vietnamese_Economy.pdf"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tradingeconomics.com/vietnam/primary-education-pupils-wb-data.html" TargetMode="External"/><Relationship Id="rId2" Type="http://schemas.openxmlformats.org/officeDocument/2006/relationships/hyperlink" Target="https://documents1.worldbank.org/curated/en/261401596433155112/pdf/Vietnam-s-Human-Capital-Education-Success-and-Future-Challenges.pdf" TargetMode="External"/><Relationship Id="rId3"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1.11"/>
    <col customWidth="1" min="2" max="2" width="90.0"/>
    <col customWidth="1" min="3" max="3" width="10.78"/>
    <col customWidth="1" min="4" max="4" width="11.11"/>
    <col customWidth="1" min="5" max="6" width="10.78"/>
    <col customWidth="1" min="7" max="26" width="10.56"/>
  </cols>
  <sheetData>
    <row r="1" ht="15.75" customHeight="1">
      <c r="A1" s="1" t="s">
        <v>0</v>
      </c>
      <c r="B1" s="2"/>
      <c r="C1" s="3"/>
      <c r="D1" s="3"/>
      <c r="E1" s="3"/>
      <c r="F1" s="3"/>
      <c r="G1" s="3"/>
      <c r="H1" s="3"/>
      <c r="I1" s="3"/>
      <c r="J1" s="3"/>
      <c r="K1" s="3"/>
      <c r="L1" s="3"/>
      <c r="M1" s="3"/>
      <c r="N1" s="3"/>
      <c r="O1" s="3"/>
      <c r="P1" s="3"/>
      <c r="Q1" s="3"/>
      <c r="R1" s="3"/>
      <c r="S1" s="3"/>
      <c r="T1" s="3"/>
      <c r="U1" s="3"/>
      <c r="V1" s="3"/>
      <c r="W1" s="3"/>
      <c r="X1" s="3"/>
      <c r="Y1" s="3"/>
      <c r="Z1" s="3"/>
    </row>
    <row r="2" ht="15.75" customHeight="1">
      <c r="A2" s="4" t="s">
        <v>1</v>
      </c>
      <c r="B2" s="5" t="s">
        <v>2</v>
      </c>
      <c r="C2" s="6"/>
      <c r="D2" s="3"/>
      <c r="E2" s="3"/>
      <c r="F2" s="3"/>
      <c r="G2" s="3"/>
      <c r="H2" s="3"/>
      <c r="I2" s="3"/>
      <c r="J2" s="3"/>
      <c r="K2" s="3"/>
      <c r="L2" s="3"/>
      <c r="M2" s="3"/>
      <c r="N2" s="3"/>
      <c r="O2" s="3"/>
      <c r="P2" s="3"/>
      <c r="Q2" s="3"/>
      <c r="R2" s="3"/>
      <c r="S2" s="3"/>
      <c r="T2" s="3"/>
      <c r="U2" s="3"/>
      <c r="V2" s="3"/>
      <c r="W2" s="3"/>
      <c r="X2" s="3"/>
      <c r="Y2" s="3"/>
      <c r="Z2" s="3"/>
    </row>
    <row r="3" ht="15.75" customHeight="1">
      <c r="A3" s="7" t="s">
        <v>3</v>
      </c>
      <c r="B3" s="5" t="s">
        <v>4</v>
      </c>
      <c r="C3" s="3"/>
      <c r="D3" s="3"/>
      <c r="E3" s="3"/>
      <c r="F3" s="3"/>
      <c r="G3" s="3"/>
      <c r="H3" s="3"/>
      <c r="I3" s="3"/>
      <c r="J3" s="3"/>
      <c r="K3" s="3"/>
      <c r="L3" s="3"/>
      <c r="M3" s="3"/>
      <c r="N3" s="3"/>
      <c r="O3" s="3"/>
      <c r="P3" s="3"/>
      <c r="Q3" s="3"/>
      <c r="R3" s="3"/>
      <c r="S3" s="3"/>
      <c r="T3" s="3"/>
      <c r="U3" s="3"/>
      <c r="V3" s="3"/>
      <c r="W3" s="3"/>
      <c r="X3" s="3"/>
      <c r="Y3" s="3"/>
      <c r="Z3" s="3"/>
    </row>
    <row r="4" ht="15.75" customHeight="1">
      <c r="A4" s="3"/>
      <c r="B4" s="3"/>
      <c r="C4" s="3"/>
      <c r="D4" s="3"/>
      <c r="E4" s="3"/>
      <c r="F4" s="3"/>
      <c r="G4" s="3"/>
      <c r="H4" s="3"/>
      <c r="I4" s="3"/>
      <c r="J4" s="3"/>
      <c r="K4" s="3"/>
      <c r="L4" s="3"/>
      <c r="M4" s="3"/>
      <c r="N4" s="3"/>
      <c r="O4" s="3"/>
      <c r="P4" s="3"/>
      <c r="Q4" s="3"/>
      <c r="R4" s="3"/>
      <c r="S4" s="3"/>
      <c r="T4" s="3"/>
      <c r="U4" s="3"/>
      <c r="V4" s="3"/>
      <c r="W4" s="3"/>
      <c r="X4" s="3"/>
      <c r="Y4" s="3"/>
      <c r="Z4" s="3"/>
    </row>
    <row r="5" ht="15.75" customHeight="1">
      <c r="A5" s="3"/>
      <c r="B5" s="3"/>
      <c r="C5" s="3"/>
      <c r="D5" s="3"/>
      <c r="E5" s="3"/>
      <c r="F5" s="3"/>
      <c r="G5" s="3"/>
      <c r="H5" s="3"/>
      <c r="I5" s="3"/>
      <c r="J5" s="3"/>
      <c r="K5" s="3"/>
      <c r="L5" s="3"/>
      <c r="M5" s="3"/>
      <c r="N5" s="3"/>
      <c r="O5" s="3"/>
      <c r="P5" s="3"/>
      <c r="Q5" s="3"/>
      <c r="R5" s="3"/>
      <c r="S5" s="3"/>
      <c r="T5" s="3"/>
      <c r="U5" s="3"/>
      <c r="V5" s="3"/>
      <c r="W5" s="3"/>
      <c r="X5" s="3"/>
      <c r="Y5" s="3"/>
      <c r="Z5" s="3"/>
    </row>
    <row r="6" ht="15.75" customHeight="1">
      <c r="A6" s="3"/>
      <c r="B6" s="3"/>
      <c r="C6" s="3"/>
      <c r="D6" s="3"/>
      <c r="E6" s="3"/>
      <c r="F6" s="3"/>
      <c r="G6" s="3"/>
      <c r="H6" s="3"/>
      <c r="I6" s="3"/>
      <c r="J6" s="3"/>
      <c r="K6" s="3"/>
      <c r="L6" s="3"/>
      <c r="M6" s="3"/>
      <c r="N6" s="3"/>
      <c r="O6" s="3"/>
      <c r="P6" s="3"/>
      <c r="Q6" s="3"/>
      <c r="R6" s="3"/>
      <c r="S6" s="3"/>
      <c r="T6" s="3"/>
      <c r="U6" s="3"/>
      <c r="V6" s="3"/>
      <c r="W6" s="3"/>
      <c r="X6" s="3"/>
      <c r="Y6" s="3"/>
      <c r="Z6" s="3"/>
    </row>
    <row r="7" ht="15.75" customHeight="1">
      <c r="A7" s="3"/>
      <c r="B7" s="3"/>
      <c r="C7" s="3"/>
      <c r="D7" s="3"/>
      <c r="E7" s="3"/>
      <c r="F7" s="3"/>
      <c r="G7" s="3"/>
      <c r="H7" s="3"/>
      <c r="I7" s="3"/>
      <c r="J7" s="3"/>
      <c r="K7" s="3"/>
      <c r="L7" s="3"/>
      <c r="M7" s="3"/>
      <c r="N7" s="3"/>
      <c r="O7" s="3"/>
      <c r="P7" s="3"/>
      <c r="Q7" s="3"/>
      <c r="R7" s="3"/>
      <c r="S7" s="3"/>
      <c r="T7" s="3"/>
      <c r="U7" s="3"/>
      <c r="V7" s="3"/>
      <c r="W7" s="3"/>
      <c r="X7" s="3"/>
      <c r="Y7" s="3"/>
      <c r="Z7" s="3"/>
    </row>
    <row r="8" ht="15.75" customHeight="1">
      <c r="A8" s="3"/>
      <c r="B8" s="3"/>
      <c r="C8" s="3"/>
      <c r="D8" s="3"/>
      <c r="E8" s="3"/>
      <c r="F8" s="3"/>
      <c r="G8" s="3"/>
      <c r="H8" s="3"/>
      <c r="I8" s="3"/>
      <c r="J8" s="3"/>
      <c r="K8" s="3"/>
      <c r="L8" s="3"/>
      <c r="M8" s="3"/>
      <c r="N8" s="3"/>
      <c r="O8" s="3"/>
      <c r="P8" s="3"/>
      <c r="Q8" s="3"/>
      <c r="R8" s="3"/>
      <c r="S8" s="3"/>
      <c r="T8" s="3"/>
      <c r="U8" s="3"/>
      <c r="V8" s="3"/>
      <c r="W8" s="3"/>
      <c r="X8" s="3"/>
      <c r="Y8" s="3"/>
      <c r="Z8" s="3"/>
    </row>
    <row r="9" ht="15.75" customHeight="1">
      <c r="A9" s="3"/>
      <c r="B9" s="3"/>
      <c r="C9" s="3"/>
      <c r="D9" s="3"/>
      <c r="E9" s="3"/>
      <c r="F9" s="3"/>
      <c r="G9" s="3"/>
      <c r="H9" s="3"/>
      <c r="I9" s="3"/>
      <c r="J9" s="3"/>
      <c r="K9" s="3"/>
      <c r="L9" s="3"/>
      <c r="M9" s="3"/>
      <c r="N9" s="3"/>
      <c r="O9" s="3"/>
      <c r="P9" s="3"/>
      <c r="Q9" s="3"/>
      <c r="R9" s="3"/>
      <c r="S9" s="3"/>
      <c r="T9" s="3"/>
      <c r="U9" s="3"/>
      <c r="V9" s="3"/>
      <c r="W9" s="3"/>
      <c r="X9" s="3"/>
      <c r="Y9" s="3"/>
      <c r="Z9" s="3"/>
    </row>
    <row r="10" ht="15.7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5.7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5.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5.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5.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5.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67"/>
    <col customWidth="1" min="2" max="4" width="10.78"/>
    <col customWidth="1" min="5" max="5" width="28.33"/>
    <col customWidth="1" min="6" max="7" width="10.78"/>
    <col customWidth="1" min="8" max="8" width="28.44"/>
    <col customWidth="1" min="9" max="10" width="10.78"/>
    <col customWidth="1" min="11" max="11" width="22.33"/>
    <col customWidth="1" min="12" max="26" width="10.56"/>
  </cols>
  <sheetData>
    <row r="1" ht="15.75" customHeight="1">
      <c r="A1" s="8"/>
      <c r="B1" s="8"/>
      <c r="C1" s="8"/>
      <c r="D1" s="8"/>
      <c r="E1" s="9" t="s">
        <v>5</v>
      </c>
      <c r="F1" s="8"/>
      <c r="G1" s="8"/>
      <c r="H1" s="10" t="s">
        <v>6</v>
      </c>
      <c r="I1" s="9" t="s">
        <v>7</v>
      </c>
      <c r="J1" s="8"/>
      <c r="K1" s="8"/>
      <c r="L1" s="8"/>
      <c r="M1" s="8"/>
      <c r="N1" s="8"/>
      <c r="O1" s="8"/>
      <c r="P1" s="8"/>
      <c r="Q1" s="8"/>
      <c r="R1" s="8"/>
      <c r="S1" s="8"/>
      <c r="T1" s="8"/>
      <c r="U1" s="8"/>
      <c r="V1" s="8"/>
      <c r="W1" s="8"/>
      <c r="X1" s="8"/>
      <c r="Y1" s="8"/>
      <c r="Z1" s="8"/>
    </row>
    <row r="2" ht="15.75" customHeight="1">
      <c r="A2" s="8"/>
      <c r="B2" s="8"/>
      <c r="C2" s="8"/>
      <c r="D2" s="8"/>
      <c r="E2" s="8" t="s">
        <v>8</v>
      </c>
      <c r="F2" s="8"/>
      <c r="G2" s="8" t="s">
        <v>9</v>
      </c>
      <c r="H2" s="11">
        <f>H8</f>
        <v>986452284</v>
      </c>
      <c r="I2" s="8">
        <f t="shared" ref="I2:I4" si="1">RANK(H2,$H$2:$H$4,0)</f>
        <v>2</v>
      </c>
      <c r="J2" s="8"/>
      <c r="K2" s="8"/>
      <c r="L2" s="8"/>
      <c r="M2" s="8"/>
      <c r="N2" s="8"/>
      <c r="O2" s="8"/>
      <c r="P2" s="8"/>
      <c r="Q2" s="8"/>
      <c r="R2" s="8"/>
      <c r="S2" s="8"/>
      <c r="T2" s="8"/>
      <c r="U2" s="8"/>
      <c r="V2" s="8"/>
      <c r="W2" s="8"/>
      <c r="X2" s="8"/>
      <c r="Y2" s="8"/>
      <c r="Z2" s="8"/>
    </row>
    <row r="3" ht="15.75" customHeight="1">
      <c r="A3" s="8"/>
      <c r="B3" s="8"/>
      <c r="C3" s="8"/>
      <c r="D3" s="8"/>
      <c r="E3" s="8" t="s">
        <v>10</v>
      </c>
      <c r="F3" s="8"/>
      <c r="G3" s="8" t="s">
        <v>9</v>
      </c>
      <c r="H3" s="11">
        <f>H15</f>
        <v>516525693.1</v>
      </c>
      <c r="I3" s="8">
        <f t="shared" si="1"/>
        <v>3</v>
      </c>
      <c r="J3" s="8"/>
      <c r="K3" s="8"/>
      <c r="L3" s="8"/>
      <c r="M3" s="8"/>
      <c r="N3" s="8"/>
      <c r="O3" s="8"/>
      <c r="P3" s="8"/>
      <c r="Q3" s="8"/>
      <c r="R3" s="8"/>
      <c r="S3" s="8"/>
      <c r="T3" s="8"/>
      <c r="U3" s="8"/>
      <c r="V3" s="8"/>
      <c r="W3" s="8"/>
      <c r="X3" s="8"/>
      <c r="Y3" s="8"/>
      <c r="Z3" s="8"/>
    </row>
    <row r="4" ht="15.75" customHeight="1">
      <c r="A4" s="8"/>
      <c r="B4" s="8"/>
      <c r="C4" s="8"/>
      <c r="D4" s="8"/>
      <c r="E4" s="12" t="s">
        <v>11</v>
      </c>
      <c r="F4" s="12"/>
      <c r="G4" s="12" t="s">
        <v>9</v>
      </c>
      <c r="H4" s="13">
        <f>H26</f>
        <v>3992147361</v>
      </c>
      <c r="I4" s="8">
        <f t="shared" si="1"/>
        <v>1</v>
      </c>
      <c r="J4" s="8"/>
      <c r="K4" s="14"/>
      <c r="L4" s="8"/>
      <c r="M4" s="8"/>
      <c r="N4" s="8"/>
      <c r="O4" s="8"/>
      <c r="P4" s="8"/>
      <c r="Q4" s="8"/>
      <c r="R4" s="8"/>
      <c r="S4" s="8"/>
      <c r="T4" s="8"/>
      <c r="U4" s="8"/>
      <c r="V4" s="8"/>
      <c r="W4" s="8"/>
      <c r="X4" s="8"/>
      <c r="Y4" s="8"/>
      <c r="Z4" s="8"/>
    </row>
    <row r="5" ht="15.75" customHeight="1">
      <c r="A5" s="8"/>
      <c r="B5" s="8"/>
      <c r="C5" s="8"/>
      <c r="D5" s="8"/>
      <c r="E5" s="8" t="s">
        <v>12</v>
      </c>
      <c r="F5" s="8"/>
      <c r="G5" s="8" t="s">
        <v>9</v>
      </c>
      <c r="H5" s="11">
        <f>H34</f>
        <v>578849508.2</v>
      </c>
      <c r="I5" s="8" t="s">
        <v>13</v>
      </c>
      <c r="J5" s="8"/>
      <c r="K5" s="8"/>
      <c r="L5" s="8"/>
      <c r="M5" s="8"/>
      <c r="N5" s="8"/>
      <c r="O5" s="8"/>
      <c r="P5" s="8"/>
      <c r="Q5" s="8"/>
      <c r="R5" s="8"/>
      <c r="S5" s="8"/>
      <c r="T5" s="8"/>
      <c r="U5" s="8"/>
      <c r="V5" s="8"/>
      <c r="W5" s="8"/>
      <c r="X5" s="8"/>
      <c r="Y5" s="8"/>
      <c r="Z5" s="8"/>
    </row>
    <row r="6" ht="15.75" customHeight="1">
      <c r="A6" s="8"/>
      <c r="B6" s="8"/>
      <c r="C6" s="8"/>
      <c r="D6" s="8"/>
      <c r="E6" s="15" t="s">
        <v>14</v>
      </c>
      <c r="F6" s="15"/>
      <c r="G6" s="15" t="s">
        <v>9</v>
      </c>
      <c r="H6" s="16">
        <f>SUM(H2:H5)</f>
        <v>6073974847</v>
      </c>
      <c r="I6" s="17">
        <f>(Growth!H6/TAM!H6)^(1/5)-1</f>
        <v>0.1174384332</v>
      </c>
      <c r="J6" s="9" t="s">
        <v>15</v>
      </c>
      <c r="K6" s="14"/>
      <c r="L6" s="8"/>
      <c r="M6" s="8"/>
      <c r="N6" s="8"/>
      <c r="O6" s="8"/>
      <c r="P6" s="8"/>
      <c r="Q6" s="8"/>
      <c r="R6" s="8"/>
      <c r="S6" s="8"/>
      <c r="T6" s="8"/>
      <c r="U6" s="8"/>
      <c r="V6" s="8"/>
      <c r="W6" s="8"/>
      <c r="X6" s="8"/>
      <c r="Y6" s="8"/>
      <c r="Z6" s="8"/>
    </row>
    <row r="7" ht="15.75" customHeight="1">
      <c r="A7" s="8"/>
      <c r="B7" s="8"/>
      <c r="C7" s="8"/>
      <c r="D7" s="8"/>
      <c r="E7" s="8"/>
      <c r="F7" s="8"/>
      <c r="G7" s="8"/>
      <c r="H7" s="8"/>
      <c r="I7" s="8"/>
      <c r="J7" s="8"/>
      <c r="K7" s="8"/>
      <c r="L7" s="8"/>
      <c r="M7" s="8"/>
      <c r="N7" s="8"/>
      <c r="O7" s="8"/>
      <c r="P7" s="8"/>
      <c r="Q7" s="8"/>
      <c r="R7" s="8"/>
      <c r="S7" s="8"/>
      <c r="T7" s="8"/>
      <c r="U7" s="8"/>
      <c r="V7" s="8"/>
      <c r="W7" s="8"/>
      <c r="X7" s="8"/>
      <c r="Y7" s="8"/>
      <c r="Z7" s="8"/>
    </row>
    <row r="8" ht="15.75" customHeight="1">
      <c r="A8" s="8"/>
      <c r="B8" s="8"/>
      <c r="C8" s="8"/>
      <c r="D8" s="8"/>
      <c r="E8" s="18" t="s">
        <v>8</v>
      </c>
      <c r="F8" s="18"/>
      <c r="G8" s="18"/>
      <c r="H8" s="19">
        <f>H9*H10*H11</f>
        <v>986452284</v>
      </c>
      <c r="I8" s="8"/>
      <c r="J8" s="8"/>
      <c r="K8" s="8"/>
      <c r="L8" s="8"/>
      <c r="M8" s="8"/>
      <c r="N8" s="8"/>
      <c r="O8" s="8"/>
      <c r="P8" s="8"/>
      <c r="Q8" s="8"/>
      <c r="R8" s="8"/>
      <c r="S8" s="8"/>
      <c r="T8" s="8"/>
      <c r="U8" s="8"/>
      <c r="V8" s="8"/>
      <c r="W8" s="8"/>
      <c r="X8" s="8"/>
      <c r="Y8" s="8"/>
      <c r="Z8" s="8"/>
    </row>
    <row r="9" ht="15.75" customHeight="1">
      <c r="A9" s="8"/>
      <c r="B9" s="8"/>
      <c r="C9" s="8"/>
      <c r="D9" s="8"/>
      <c r="E9" s="8" t="s">
        <v>16</v>
      </c>
      <c r="F9" s="8"/>
      <c r="G9" s="8" t="s">
        <v>17</v>
      </c>
      <c r="H9" s="11">
        <f>(8.8*97% + 5.1*87%+ 2.4*59%)*10^6*H12</f>
        <v>5424653</v>
      </c>
      <c r="I9" s="8"/>
      <c r="J9" s="20" t="s">
        <v>18</v>
      </c>
      <c r="K9" s="20" t="s">
        <v>19</v>
      </c>
      <c r="L9" s="8"/>
      <c r="M9" s="8"/>
      <c r="N9" s="8"/>
      <c r="O9" s="8"/>
      <c r="P9" s="8"/>
      <c r="Q9" s="8"/>
      <c r="R9" s="8"/>
      <c r="S9" s="8"/>
      <c r="T9" s="8"/>
      <c r="U9" s="8"/>
      <c r="V9" s="8"/>
      <c r="W9" s="8"/>
      <c r="X9" s="8"/>
      <c r="Y9" s="8"/>
      <c r="Z9" s="8"/>
    </row>
    <row r="10" ht="15.75" customHeight="1">
      <c r="A10" s="8"/>
      <c r="B10" s="8"/>
      <c r="C10" s="8"/>
      <c r="D10" s="8"/>
      <c r="E10" s="8" t="s">
        <v>20</v>
      </c>
      <c r="F10" s="8"/>
      <c r="G10" s="8" t="s">
        <v>21</v>
      </c>
      <c r="H10" s="21">
        <v>0.788</v>
      </c>
      <c r="I10" s="8"/>
      <c r="J10" s="8" t="s">
        <v>22</v>
      </c>
      <c r="K10" s="8"/>
      <c r="L10" s="8"/>
      <c r="M10" s="8"/>
      <c r="N10" s="8"/>
      <c r="O10" s="8"/>
      <c r="P10" s="8"/>
      <c r="Q10" s="8"/>
      <c r="R10" s="8"/>
      <c r="S10" s="8"/>
      <c r="T10" s="8"/>
      <c r="U10" s="8"/>
      <c r="V10" s="8"/>
      <c r="W10" s="8"/>
      <c r="X10" s="8"/>
      <c r="Y10" s="8"/>
      <c r="Z10" s="8"/>
    </row>
    <row r="11" ht="15.75" customHeight="1">
      <c r="A11" s="8"/>
      <c r="B11" s="8"/>
      <c r="C11" s="8"/>
      <c r="D11" s="8"/>
      <c r="E11" s="8" t="s">
        <v>23</v>
      </c>
      <c r="F11" s="8"/>
      <c r="G11" s="8" t="s">
        <v>9</v>
      </c>
      <c r="H11" s="11">
        <f>(500000*12)/'ARPU Ref'!A2</f>
        <v>230.7692308</v>
      </c>
      <c r="I11" s="8"/>
      <c r="J11" s="8" t="s">
        <v>24</v>
      </c>
      <c r="K11" s="8"/>
      <c r="L11" s="8"/>
      <c r="M11" s="8"/>
      <c r="N11" s="8"/>
      <c r="O11" s="8"/>
      <c r="P11" s="8"/>
      <c r="Q11" s="8"/>
      <c r="R11" s="8"/>
      <c r="S11" s="8"/>
      <c r="T11" s="8"/>
      <c r="U11" s="8"/>
      <c r="V11" s="8"/>
      <c r="W11" s="8"/>
      <c r="X11" s="8"/>
      <c r="Y11" s="8"/>
      <c r="Z11" s="8"/>
    </row>
    <row r="12" ht="15.75" customHeight="1">
      <c r="A12" s="8"/>
      <c r="B12" s="8"/>
      <c r="C12" s="8"/>
      <c r="D12" s="8"/>
      <c r="E12" s="8" t="s">
        <v>25</v>
      </c>
      <c r="F12" s="8"/>
      <c r="G12" s="8" t="s">
        <v>21</v>
      </c>
      <c r="H12" s="21">
        <v>0.377</v>
      </c>
      <c r="I12" s="8"/>
      <c r="J12" s="8" t="s">
        <v>26</v>
      </c>
      <c r="K12" s="8"/>
      <c r="L12" s="8"/>
      <c r="M12" s="8"/>
      <c r="N12" s="8"/>
      <c r="O12" s="8"/>
      <c r="P12" s="8"/>
      <c r="Q12" s="8"/>
      <c r="R12" s="8"/>
      <c r="S12" s="8"/>
      <c r="T12" s="8"/>
      <c r="U12" s="8"/>
      <c r="V12" s="8"/>
      <c r="W12" s="8"/>
      <c r="X12" s="8"/>
      <c r="Y12" s="8"/>
      <c r="Z12" s="8"/>
    </row>
    <row r="13" ht="15.75" customHeight="1">
      <c r="A13" s="8"/>
      <c r="B13" s="8"/>
      <c r="C13" s="8"/>
      <c r="D13" s="8"/>
      <c r="E13" s="8"/>
      <c r="F13" s="8"/>
      <c r="G13" s="8"/>
      <c r="H13" s="8"/>
      <c r="I13" s="8"/>
      <c r="J13" s="8"/>
      <c r="K13" s="8"/>
      <c r="L13" s="8"/>
      <c r="M13" s="8"/>
      <c r="N13" s="8"/>
      <c r="O13" s="8"/>
      <c r="P13" s="8"/>
      <c r="Q13" s="8"/>
      <c r="R13" s="8"/>
      <c r="S13" s="8"/>
      <c r="T13" s="8"/>
      <c r="U13" s="8"/>
      <c r="V13" s="8"/>
      <c r="W13" s="8"/>
      <c r="X13" s="8"/>
      <c r="Y13" s="8"/>
      <c r="Z13" s="8"/>
    </row>
    <row r="14" ht="15.75" customHeight="1">
      <c r="A14" s="8"/>
      <c r="B14" s="8"/>
      <c r="C14" s="8"/>
      <c r="D14" s="8"/>
      <c r="E14" s="8"/>
      <c r="F14" s="8"/>
      <c r="G14" s="8"/>
      <c r="H14" s="8"/>
      <c r="I14" s="8"/>
      <c r="J14" s="8"/>
      <c r="K14" s="8"/>
      <c r="L14" s="8"/>
      <c r="M14" s="8"/>
      <c r="N14" s="8"/>
      <c r="O14" s="8"/>
      <c r="P14" s="8"/>
      <c r="Q14" s="8"/>
      <c r="R14" s="8"/>
      <c r="S14" s="8"/>
      <c r="T14" s="8"/>
      <c r="U14" s="8"/>
      <c r="V14" s="8"/>
      <c r="W14" s="8"/>
      <c r="X14" s="8"/>
      <c r="Y14" s="8"/>
      <c r="Z14" s="8"/>
    </row>
    <row r="15" ht="15.75" customHeight="1">
      <c r="A15" s="8"/>
      <c r="B15" s="8"/>
      <c r="C15" s="8"/>
      <c r="D15" s="8"/>
      <c r="E15" s="18" t="s">
        <v>10</v>
      </c>
      <c r="F15" s="8"/>
      <c r="G15" s="8"/>
      <c r="H15" s="19">
        <f>(H17*H20*H21+(H18+H19)*H20*H22)*H12</f>
        <v>516525693.1</v>
      </c>
      <c r="I15" s="8"/>
      <c r="J15" s="8"/>
      <c r="K15" s="8"/>
      <c r="L15" s="8"/>
      <c r="M15" s="8"/>
      <c r="N15" s="8"/>
      <c r="O15" s="8"/>
      <c r="P15" s="8"/>
      <c r="Q15" s="8"/>
      <c r="R15" s="8"/>
      <c r="S15" s="8"/>
      <c r="T15" s="8"/>
      <c r="U15" s="8"/>
      <c r="V15" s="8"/>
      <c r="W15" s="8"/>
      <c r="X15" s="8"/>
      <c r="Y15" s="8"/>
      <c r="Z15" s="8"/>
    </row>
    <row r="16" ht="15.75" customHeight="1">
      <c r="A16" s="8"/>
      <c r="B16" s="8"/>
      <c r="C16" s="8"/>
      <c r="D16" s="8"/>
      <c r="E16" s="8" t="s">
        <v>27</v>
      </c>
      <c r="F16" s="8"/>
      <c r="G16" s="8" t="s">
        <v>17</v>
      </c>
      <c r="H16" s="11">
        <f>SUM(H17:H19)</f>
        <v>3351767.32</v>
      </c>
      <c r="I16" s="8"/>
      <c r="J16" s="8"/>
      <c r="K16" s="8"/>
      <c r="L16" s="8"/>
      <c r="M16" s="8"/>
      <c r="N16" s="8"/>
      <c r="O16" s="8"/>
      <c r="P16" s="8"/>
      <c r="Q16" s="8"/>
      <c r="R16" s="8"/>
      <c r="S16" s="8"/>
      <c r="T16" s="8"/>
      <c r="U16" s="8"/>
      <c r="V16" s="8"/>
      <c r="W16" s="8"/>
      <c r="X16" s="8"/>
      <c r="Y16" s="8"/>
      <c r="Z16" s="8"/>
    </row>
    <row r="17" ht="15.75" customHeight="1">
      <c r="A17" s="8"/>
      <c r="B17" s="8"/>
      <c r="C17" s="8"/>
      <c r="D17" s="8"/>
      <c r="E17" s="22" t="s">
        <v>28</v>
      </c>
      <c r="F17" s="8"/>
      <c r="G17" s="8" t="s">
        <v>17</v>
      </c>
      <c r="H17" s="11">
        <f>H9*(11%+10%+7%+6%+3%+7%)</f>
        <v>2386847.32</v>
      </c>
      <c r="I17" s="8"/>
      <c r="J17" s="8" t="s">
        <v>29</v>
      </c>
      <c r="K17" s="8"/>
      <c r="L17" s="8"/>
      <c r="M17" s="8"/>
      <c r="N17" s="8"/>
      <c r="O17" s="8"/>
      <c r="P17" s="8"/>
      <c r="Q17" s="8"/>
      <c r="R17" s="8"/>
      <c r="S17" s="8"/>
      <c r="T17" s="8"/>
      <c r="U17" s="8"/>
      <c r="V17" s="8"/>
      <c r="W17" s="8"/>
      <c r="X17" s="8"/>
      <c r="Y17" s="8"/>
      <c r="Z17" s="8"/>
    </row>
    <row r="18" ht="15.75" customHeight="1">
      <c r="A18" s="8"/>
      <c r="B18" s="8"/>
      <c r="C18" s="8"/>
      <c r="D18" s="8"/>
      <c r="E18" s="22" t="s">
        <v>30</v>
      </c>
      <c r="F18" s="8"/>
      <c r="G18" s="8" t="s">
        <v>17</v>
      </c>
      <c r="H18" s="11">
        <f>1.9*10^6*29%</f>
        <v>551000</v>
      </c>
      <c r="I18" s="8"/>
      <c r="J18" s="8" t="s">
        <v>31</v>
      </c>
      <c r="K18" s="8"/>
      <c r="L18" s="8"/>
      <c r="M18" s="8"/>
      <c r="N18" s="8"/>
      <c r="O18" s="8"/>
      <c r="P18" s="8"/>
      <c r="Q18" s="8"/>
      <c r="R18" s="8"/>
      <c r="S18" s="8"/>
      <c r="T18" s="8"/>
      <c r="U18" s="8"/>
      <c r="V18" s="8"/>
      <c r="W18" s="8"/>
      <c r="X18" s="8"/>
      <c r="Y18" s="8"/>
      <c r="Z18" s="8"/>
    </row>
    <row r="19" ht="15.75" customHeight="1">
      <c r="A19" s="8"/>
      <c r="B19" s="8"/>
      <c r="C19" s="8"/>
      <c r="D19" s="8"/>
      <c r="E19" s="22" t="s">
        <v>32</v>
      </c>
      <c r="F19" s="8"/>
      <c r="G19" s="8" t="s">
        <v>17</v>
      </c>
      <c r="H19" s="11">
        <f>(4512+6386+7276+7275+6391)*10^3*26%*5%</f>
        <v>413920</v>
      </c>
      <c r="I19" s="8"/>
      <c r="J19" s="8" t="s">
        <v>33</v>
      </c>
      <c r="K19" s="8"/>
      <c r="L19" s="8"/>
      <c r="M19" s="8"/>
      <c r="N19" s="8"/>
      <c r="O19" s="8"/>
      <c r="P19" s="8"/>
      <c r="Q19" s="8"/>
      <c r="R19" s="8"/>
      <c r="S19" s="8"/>
      <c r="T19" s="8"/>
      <c r="U19" s="8"/>
      <c r="V19" s="8"/>
      <c r="W19" s="8"/>
      <c r="X19" s="8"/>
      <c r="Y19" s="8"/>
      <c r="Z19" s="8"/>
    </row>
    <row r="20" ht="15.75" customHeight="1">
      <c r="A20" s="8"/>
      <c r="B20" s="8"/>
      <c r="C20" s="8"/>
      <c r="D20" s="8"/>
      <c r="E20" s="8" t="s">
        <v>20</v>
      </c>
      <c r="F20" s="8"/>
      <c r="G20" s="8" t="s">
        <v>21</v>
      </c>
      <c r="H20" s="21">
        <f>H10</f>
        <v>0.788</v>
      </c>
      <c r="I20" s="8"/>
      <c r="J20" s="8" t="s">
        <v>22</v>
      </c>
      <c r="K20" s="8"/>
      <c r="L20" s="8"/>
      <c r="M20" s="8"/>
      <c r="N20" s="8"/>
      <c r="O20" s="8"/>
      <c r="P20" s="8"/>
      <c r="Q20" s="8"/>
      <c r="R20" s="8"/>
      <c r="S20" s="8"/>
      <c r="T20" s="8"/>
      <c r="U20" s="8"/>
      <c r="V20" s="8"/>
      <c r="W20" s="8"/>
      <c r="X20" s="8"/>
      <c r="Y20" s="8"/>
      <c r="Z20" s="8"/>
    </row>
    <row r="21" ht="15.75" customHeight="1">
      <c r="A21" s="8"/>
      <c r="B21" s="8"/>
      <c r="C21" s="8"/>
      <c r="D21" s="8"/>
      <c r="E21" s="8" t="s">
        <v>34</v>
      </c>
      <c r="F21" s="8"/>
      <c r="G21" s="8" t="s">
        <v>9</v>
      </c>
      <c r="H21" s="23">
        <f>AVERAGE('ARPU Ref'!E1:E6)</f>
        <v>708.3333333</v>
      </c>
      <c r="I21" s="8"/>
      <c r="J21" s="8"/>
      <c r="K21" s="8"/>
      <c r="L21" s="8"/>
      <c r="M21" s="8"/>
      <c r="N21" s="8"/>
      <c r="O21" s="8"/>
      <c r="P21" s="8"/>
      <c r="Q21" s="8"/>
      <c r="R21" s="8"/>
      <c r="S21" s="8"/>
      <c r="T21" s="8"/>
      <c r="U21" s="8"/>
      <c r="V21" s="8"/>
      <c r="W21" s="8"/>
      <c r="X21" s="8"/>
      <c r="Y21" s="8"/>
      <c r="Z21" s="8"/>
    </row>
    <row r="22" ht="15.75" customHeight="1">
      <c r="A22" s="8"/>
      <c r="B22" s="8"/>
      <c r="C22" s="8"/>
      <c r="D22" s="8"/>
      <c r="E22" s="8" t="s">
        <v>35</v>
      </c>
      <c r="F22" s="8"/>
      <c r="G22" s="8" t="s">
        <v>9</v>
      </c>
      <c r="H22" s="23">
        <f>AVERAGE('ARPU Ref'!E8:E12)*6</f>
        <v>49.76092308</v>
      </c>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18" t="s">
        <v>11</v>
      </c>
      <c r="F26" s="8"/>
      <c r="G26" s="8"/>
      <c r="H26" s="24">
        <f>((H27*H28*11%*H29)+(H27*89%*H30))*H12</f>
        <v>3992147361</v>
      </c>
      <c r="I26" s="8"/>
      <c r="J26" s="8" t="s">
        <v>36</v>
      </c>
      <c r="K26" s="8"/>
      <c r="L26" s="8"/>
      <c r="M26" s="8"/>
      <c r="N26" s="8"/>
      <c r="O26" s="8"/>
      <c r="P26" s="8"/>
      <c r="Q26" s="8"/>
      <c r="R26" s="8"/>
      <c r="S26" s="8"/>
      <c r="T26" s="8"/>
      <c r="U26" s="8"/>
      <c r="V26" s="8"/>
      <c r="W26" s="8"/>
      <c r="X26" s="8"/>
      <c r="Y26" s="8"/>
      <c r="Z26" s="8"/>
    </row>
    <row r="27" ht="15.75" customHeight="1">
      <c r="A27" s="8"/>
      <c r="B27" s="8"/>
      <c r="C27" s="8"/>
      <c r="D27" s="8"/>
      <c r="E27" s="25" t="s">
        <v>32</v>
      </c>
      <c r="F27" s="8"/>
      <c r="G27" s="8" t="s">
        <v>17</v>
      </c>
      <c r="H27" s="11">
        <f>51860*10^3*70%</f>
        <v>36302000</v>
      </c>
      <c r="I27" s="8"/>
      <c r="J27" s="8" t="s">
        <v>37</v>
      </c>
      <c r="K27" s="8"/>
      <c r="L27" s="8"/>
      <c r="M27" s="8"/>
      <c r="N27" s="8"/>
      <c r="O27" s="8"/>
      <c r="P27" s="8"/>
      <c r="Q27" s="8"/>
      <c r="R27" s="8"/>
      <c r="S27" s="8"/>
      <c r="T27" s="8"/>
      <c r="U27" s="8"/>
      <c r="V27" s="8"/>
      <c r="W27" s="8"/>
      <c r="X27" s="8"/>
      <c r="Y27" s="8"/>
      <c r="Z27" s="8"/>
    </row>
    <row r="28" ht="15.75" customHeight="1">
      <c r="A28" s="8"/>
      <c r="B28" s="8"/>
      <c r="C28" s="8"/>
      <c r="D28" s="8"/>
      <c r="E28" s="8" t="s">
        <v>20</v>
      </c>
      <c r="F28" s="8"/>
      <c r="G28" s="8" t="s">
        <v>21</v>
      </c>
      <c r="H28" s="21">
        <v>0.788</v>
      </c>
      <c r="I28" s="8"/>
      <c r="J28" s="8" t="s">
        <v>38</v>
      </c>
      <c r="K28" s="8"/>
      <c r="L28" s="8"/>
      <c r="M28" s="8"/>
      <c r="N28" s="8"/>
      <c r="O28" s="8"/>
      <c r="P28" s="8"/>
      <c r="Q28" s="8"/>
      <c r="R28" s="8"/>
      <c r="S28" s="8"/>
      <c r="T28" s="8"/>
      <c r="U28" s="8"/>
      <c r="V28" s="8"/>
      <c r="W28" s="8"/>
      <c r="X28" s="8"/>
      <c r="Y28" s="8"/>
      <c r="Z28" s="8"/>
    </row>
    <row r="29" ht="15.75" customHeight="1">
      <c r="A29" s="8"/>
      <c r="B29" s="8"/>
      <c r="C29" s="8"/>
      <c r="D29" s="8"/>
      <c r="E29" s="8" t="s">
        <v>39</v>
      </c>
      <c r="F29" s="8"/>
      <c r="G29" s="8" t="s">
        <v>9</v>
      </c>
      <c r="H29" s="23">
        <f>AVERAGE('ARPU Ref'!E14:E16)</f>
        <v>47.99666667</v>
      </c>
      <c r="I29" s="8"/>
      <c r="J29" s="8"/>
      <c r="K29" s="8"/>
      <c r="L29" s="8"/>
      <c r="M29" s="8"/>
      <c r="N29" s="8"/>
      <c r="O29" s="8"/>
      <c r="P29" s="8"/>
      <c r="Q29" s="8"/>
      <c r="R29" s="8"/>
      <c r="S29" s="8"/>
      <c r="T29" s="8"/>
      <c r="U29" s="8"/>
      <c r="V29" s="8"/>
      <c r="W29" s="8"/>
      <c r="X29" s="8"/>
      <c r="Y29" s="8"/>
      <c r="Z29" s="8"/>
    </row>
    <row r="30" ht="15.75" customHeight="1">
      <c r="A30" s="8"/>
      <c r="B30" s="8"/>
      <c r="C30" s="8"/>
      <c r="D30" s="8"/>
      <c r="E30" s="8" t="s">
        <v>40</v>
      </c>
      <c r="F30" s="8"/>
      <c r="G30" s="8" t="s">
        <v>9</v>
      </c>
      <c r="H30" s="23">
        <f>AVERAGE('ARPU Ref'!E18:E19)</f>
        <v>323.0769231</v>
      </c>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14"/>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18" t="s">
        <v>41</v>
      </c>
      <c r="F34" s="8"/>
      <c r="G34" s="8"/>
      <c r="H34" s="19">
        <f>(H35*21/183)*H12</f>
        <v>578849508.2</v>
      </c>
      <c r="I34" s="8"/>
      <c r="J34" s="19"/>
      <c r="K34" s="8"/>
      <c r="L34" s="8"/>
      <c r="M34" s="8"/>
      <c r="N34" s="8"/>
      <c r="O34" s="8"/>
      <c r="P34" s="8"/>
      <c r="Q34" s="8"/>
      <c r="R34" s="8"/>
      <c r="S34" s="8"/>
      <c r="T34" s="8"/>
      <c r="U34" s="8"/>
      <c r="V34" s="8"/>
      <c r="W34" s="8"/>
      <c r="X34" s="8"/>
      <c r="Y34" s="8"/>
      <c r="Z34" s="8"/>
    </row>
    <row r="35" ht="15.75" customHeight="1">
      <c r="A35" s="8"/>
      <c r="B35" s="8"/>
      <c r="C35" s="8"/>
      <c r="D35" s="8"/>
      <c r="E35" s="8" t="s">
        <v>42</v>
      </c>
      <c r="F35" s="8"/>
      <c r="G35" s="8" t="s">
        <v>9</v>
      </c>
      <c r="H35" s="11">
        <f>13.38*10^9</f>
        <v>13380000000</v>
      </c>
      <c r="I35" s="8"/>
      <c r="J35" s="8" t="s">
        <v>43</v>
      </c>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26" t="s">
        <v>44</v>
      </c>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t="s">
        <v>45</v>
      </c>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t="s">
        <v>46</v>
      </c>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t="s">
        <v>47</v>
      </c>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conditionalFormatting sqref="I2:I5">
    <cfRule type="colorScale" priority="1">
      <colorScale>
        <cfvo type="min"/>
        <cfvo type="max"/>
        <color rgb="FF63BE7B"/>
        <color rgb="FFFCFCFF"/>
      </colorScale>
    </cfRule>
  </conditionalFormatting>
  <hyperlinks>
    <hyperlink r:id="rId2" ref="J9"/>
    <hyperlink r:id="rId3" ref="K9"/>
  </hyperlinks>
  <printOptions/>
  <pageMargins bottom="0.75" footer="0.0" header="0.0" left="0.25" right="0.25" top="0.75"/>
  <pageSetup orientation="portrait"/>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67"/>
    <col customWidth="1" min="2" max="4" width="10.78"/>
    <col customWidth="1" min="5" max="5" width="28.33"/>
    <col customWidth="1" min="6" max="7" width="10.78"/>
    <col customWidth="1" min="8" max="8" width="28.44"/>
    <col customWidth="1" min="9" max="10" width="10.78"/>
    <col customWidth="1" min="11" max="11" width="22.33"/>
    <col customWidth="1" min="12" max="26" width="10.56"/>
  </cols>
  <sheetData>
    <row r="1" ht="15.75" customHeight="1">
      <c r="A1" s="8"/>
      <c r="B1" s="8"/>
      <c r="C1" s="8"/>
      <c r="D1" s="8"/>
      <c r="E1" s="9" t="s">
        <v>5</v>
      </c>
      <c r="F1" s="8"/>
      <c r="G1" s="8"/>
      <c r="H1" s="9" t="s">
        <v>6</v>
      </c>
      <c r="I1" s="8"/>
      <c r="J1" s="8"/>
      <c r="K1" s="8"/>
      <c r="L1" s="8"/>
      <c r="M1" s="8"/>
      <c r="N1" s="8"/>
      <c r="O1" s="8"/>
      <c r="P1" s="8"/>
      <c r="Q1" s="8"/>
      <c r="R1" s="8"/>
      <c r="S1" s="8"/>
      <c r="T1" s="8"/>
      <c r="U1" s="8"/>
      <c r="V1" s="8"/>
      <c r="W1" s="8"/>
      <c r="X1" s="8"/>
      <c r="Y1" s="8"/>
      <c r="Z1" s="8"/>
    </row>
    <row r="2" ht="15.75" customHeight="1">
      <c r="A2" s="8"/>
      <c r="B2" s="8"/>
      <c r="C2" s="8"/>
      <c r="D2" s="8"/>
      <c r="E2" s="8" t="s">
        <v>8</v>
      </c>
      <c r="F2" s="8"/>
      <c r="G2" s="8" t="s">
        <v>9</v>
      </c>
      <c r="H2" s="11">
        <f>H8</f>
        <v>1980427920</v>
      </c>
      <c r="I2" s="8"/>
      <c r="J2" s="8"/>
      <c r="K2" s="8"/>
      <c r="L2" s="8"/>
      <c r="M2" s="8"/>
      <c r="N2" s="8"/>
      <c r="O2" s="8"/>
      <c r="P2" s="8"/>
      <c r="Q2" s="8"/>
      <c r="R2" s="8"/>
      <c r="S2" s="8"/>
      <c r="T2" s="8"/>
      <c r="U2" s="8"/>
      <c r="V2" s="8"/>
      <c r="W2" s="8"/>
      <c r="X2" s="8"/>
      <c r="Y2" s="8"/>
      <c r="Z2" s="8"/>
    </row>
    <row r="3" ht="15.75" customHeight="1">
      <c r="A3" s="8"/>
      <c r="B3" s="8"/>
      <c r="C3" s="8"/>
      <c r="D3" s="8"/>
      <c r="E3" s="8" t="s">
        <v>10</v>
      </c>
      <c r="F3" s="8"/>
      <c r="G3" s="8" t="s">
        <v>9</v>
      </c>
      <c r="H3" s="11">
        <f>H15</f>
        <v>1363276542</v>
      </c>
      <c r="I3" s="8"/>
      <c r="J3" s="8"/>
      <c r="K3" s="8"/>
      <c r="L3" s="8"/>
      <c r="M3" s="8"/>
      <c r="N3" s="8"/>
      <c r="O3" s="8"/>
      <c r="P3" s="8"/>
      <c r="Q3" s="8"/>
      <c r="R3" s="8"/>
      <c r="S3" s="8"/>
      <c r="T3" s="8"/>
      <c r="U3" s="8"/>
      <c r="V3" s="8"/>
      <c r="W3" s="8"/>
      <c r="X3" s="8"/>
      <c r="Y3" s="8"/>
      <c r="Z3" s="8"/>
    </row>
    <row r="4" ht="15.75" customHeight="1">
      <c r="A4" s="8"/>
      <c r="B4" s="8"/>
      <c r="C4" s="8"/>
      <c r="D4" s="8"/>
      <c r="E4" s="27" t="s">
        <v>11</v>
      </c>
      <c r="F4" s="27"/>
      <c r="G4" s="27" t="s">
        <v>9</v>
      </c>
      <c r="H4" s="28">
        <f>H26</f>
        <v>6471157241</v>
      </c>
      <c r="I4" s="8"/>
      <c r="J4" s="14"/>
      <c r="K4" s="8"/>
      <c r="L4" s="8"/>
      <c r="M4" s="8"/>
      <c r="N4" s="8"/>
      <c r="O4" s="8"/>
      <c r="P4" s="8"/>
      <c r="Q4" s="8"/>
      <c r="R4" s="8"/>
      <c r="S4" s="8"/>
      <c r="T4" s="8"/>
      <c r="U4" s="8"/>
      <c r="V4" s="8"/>
      <c r="W4" s="8"/>
      <c r="X4" s="8"/>
      <c r="Y4" s="8"/>
      <c r="Z4" s="8"/>
    </row>
    <row r="5" ht="15.75" customHeight="1">
      <c r="A5" s="8"/>
      <c r="B5" s="8"/>
      <c r="C5" s="8"/>
      <c r="D5" s="8"/>
      <c r="E5" s="8" t="s">
        <v>12</v>
      </c>
      <c r="F5" s="8"/>
      <c r="G5" s="8" t="s">
        <v>9</v>
      </c>
      <c r="H5" s="11">
        <f>H34</f>
        <v>767704918</v>
      </c>
      <c r="I5" s="8"/>
      <c r="J5" s="8"/>
      <c r="K5" s="8"/>
      <c r="L5" s="8"/>
      <c r="M5" s="8"/>
      <c r="N5" s="8"/>
      <c r="O5" s="8"/>
      <c r="P5" s="8"/>
      <c r="Q5" s="8"/>
      <c r="R5" s="8"/>
      <c r="S5" s="8"/>
      <c r="T5" s="8"/>
      <c r="U5" s="8"/>
      <c r="V5" s="8"/>
      <c r="W5" s="8"/>
      <c r="X5" s="8"/>
      <c r="Y5" s="8"/>
      <c r="Z5" s="8"/>
    </row>
    <row r="6" ht="15.75" customHeight="1">
      <c r="A6" s="8"/>
      <c r="B6" s="8"/>
      <c r="C6" s="8"/>
      <c r="D6" s="8"/>
      <c r="E6" s="15" t="s">
        <v>14</v>
      </c>
      <c r="F6" s="15"/>
      <c r="G6" s="15" t="s">
        <v>9</v>
      </c>
      <c r="H6" s="16">
        <f>SUM(H2:H5)</f>
        <v>10582566622</v>
      </c>
      <c r="I6" s="8">
        <v>2030.0</v>
      </c>
      <c r="J6" s="14"/>
      <c r="K6" s="8"/>
      <c r="L6" s="8"/>
      <c r="M6" s="8"/>
      <c r="N6" s="8"/>
      <c r="O6" s="8"/>
      <c r="P6" s="8"/>
      <c r="Q6" s="8"/>
      <c r="R6" s="8"/>
      <c r="S6" s="8"/>
      <c r="T6" s="8"/>
      <c r="U6" s="8"/>
      <c r="V6" s="8"/>
      <c r="W6" s="8"/>
      <c r="X6" s="8"/>
      <c r="Y6" s="8"/>
      <c r="Z6" s="8"/>
    </row>
    <row r="7" ht="15.75" customHeight="1">
      <c r="A7" s="8"/>
      <c r="B7" s="8"/>
      <c r="C7" s="8"/>
      <c r="D7" s="8"/>
      <c r="E7" s="8"/>
      <c r="F7" s="8"/>
      <c r="G7" s="8"/>
      <c r="H7" s="8"/>
      <c r="I7" s="8"/>
      <c r="J7" s="8"/>
      <c r="K7" s="8"/>
      <c r="L7" s="8"/>
      <c r="M7" s="8"/>
      <c r="N7" s="8"/>
      <c r="O7" s="8"/>
      <c r="P7" s="8"/>
      <c r="Q7" s="8"/>
      <c r="R7" s="8"/>
      <c r="S7" s="8"/>
      <c r="T7" s="8"/>
      <c r="U7" s="8"/>
      <c r="V7" s="8"/>
      <c r="W7" s="8"/>
      <c r="X7" s="8"/>
      <c r="Y7" s="8"/>
      <c r="Z7" s="8"/>
    </row>
    <row r="8" ht="15.75" customHeight="1">
      <c r="A8" s="8"/>
      <c r="B8" s="8"/>
      <c r="C8" s="8"/>
      <c r="D8" s="8"/>
      <c r="E8" s="18" t="s">
        <v>8</v>
      </c>
      <c r="F8" s="18"/>
      <c r="G8" s="18"/>
      <c r="H8" s="19">
        <f>H9*H10*H11</f>
        <v>1980427920</v>
      </c>
      <c r="I8" s="8"/>
      <c r="J8" s="8"/>
      <c r="K8" s="8"/>
      <c r="L8" s="8"/>
      <c r="M8" s="8"/>
      <c r="N8" s="8"/>
      <c r="O8" s="8"/>
      <c r="P8" s="8"/>
      <c r="Q8" s="8"/>
      <c r="R8" s="8"/>
      <c r="S8" s="8"/>
      <c r="T8" s="8"/>
      <c r="U8" s="8"/>
      <c r="V8" s="8"/>
      <c r="W8" s="8"/>
      <c r="X8" s="8"/>
      <c r="Y8" s="8"/>
      <c r="Z8" s="8"/>
    </row>
    <row r="9" ht="15.75" customHeight="1">
      <c r="A9" s="8"/>
      <c r="B9" s="8"/>
      <c r="C9" s="8"/>
      <c r="D9" s="8"/>
      <c r="E9" s="8" t="s">
        <v>16</v>
      </c>
      <c r="F9" s="8"/>
      <c r="G9" s="8" t="s">
        <v>17</v>
      </c>
      <c r="H9" s="11">
        <f>((8.8*97% + 5.1*87%+ 2.4*59%)*10^6*H12)*(1+2%)^5</f>
        <v>7943309.339</v>
      </c>
      <c r="I9" s="8"/>
      <c r="J9" s="20"/>
      <c r="K9" s="20"/>
      <c r="L9" s="8"/>
      <c r="M9" s="8"/>
      <c r="N9" s="8"/>
      <c r="O9" s="8"/>
      <c r="P9" s="8"/>
      <c r="Q9" s="8"/>
      <c r="R9" s="8"/>
      <c r="S9" s="8"/>
      <c r="T9" s="8"/>
      <c r="U9" s="8"/>
      <c r="V9" s="8"/>
      <c r="W9" s="8"/>
      <c r="X9" s="8"/>
      <c r="Y9" s="8"/>
      <c r="Z9" s="8"/>
    </row>
    <row r="10" ht="15.75" customHeight="1">
      <c r="A10" s="8"/>
      <c r="B10" s="8"/>
      <c r="C10" s="27"/>
      <c r="D10" s="27"/>
      <c r="E10" s="27" t="s">
        <v>20</v>
      </c>
      <c r="F10" s="27"/>
      <c r="G10" s="27" t="s">
        <v>21</v>
      </c>
      <c r="H10" s="29">
        <f>78.8% + 10%</f>
        <v>0.888</v>
      </c>
      <c r="I10" s="22" t="s">
        <v>48</v>
      </c>
      <c r="J10" s="8" t="s">
        <v>49</v>
      </c>
      <c r="K10" s="8"/>
      <c r="L10" s="8"/>
      <c r="M10" s="8"/>
      <c r="N10" s="8"/>
      <c r="O10" s="8"/>
      <c r="P10" s="8"/>
      <c r="Q10" s="8"/>
      <c r="R10" s="8"/>
      <c r="S10" s="8"/>
      <c r="T10" s="8"/>
      <c r="U10" s="8"/>
      <c r="V10" s="8"/>
      <c r="W10" s="8"/>
      <c r="X10" s="8"/>
      <c r="Y10" s="8"/>
      <c r="Z10" s="8"/>
    </row>
    <row r="11" ht="15.75" customHeight="1">
      <c r="A11" s="8"/>
      <c r="B11" s="8"/>
      <c r="C11" s="27"/>
      <c r="D11" s="27"/>
      <c r="E11" s="27" t="s">
        <v>23</v>
      </c>
      <c r="F11" s="27"/>
      <c r="G11" s="27" t="s">
        <v>9</v>
      </c>
      <c r="H11" s="30">
        <f>((500000*12)/'ARPU Ref'!A2)*(1+4%)^5</f>
        <v>280.7660544</v>
      </c>
      <c r="I11" s="22" t="s">
        <v>48</v>
      </c>
      <c r="J11" s="8" t="s">
        <v>50</v>
      </c>
      <c r="K11" s="8"/>
      <c r="L11" s="8"/>
      <c r="M11" s="8"/>
      <c r="N11" s="8"/>
      <c r="O11" s="8"/>
      <c r="P11" s="8"/>
      <c r="Q11" s="8"/>
      <c r="R11" s="8"/>
      <c r="S11" s="8"/>
      <c r="T11" s="8"/>
      <c r="U11" s="8"/>
      <c r="V11" s="8"/>
      <c r="W11" s="8"/>
      <c r="X11" s="8"/>
      <c r="Y11" s="8"/>
      <c r="Z11" s="8"/>
    </row>
    <row r="12" ht="15.75" customHeight="1">
      <c r="A12" s="8"/>
      <c r="B12" s="8"/>
      <c r="C12" s="27"/>
      <c r="D12" s="27"/>
      <c r="E12" s="27" t="s">
        <v>25</v>
      </c>
      <c r="F12" s="27"/>
      <c r="G12" s="27" t="s">
        <v>21</v>
      </c>
      <c r="H12" s="29">
        <v>0.5</v>
      </c>
      <c r="I12" s="22" t="s">
        <v>48</v>
      </c>
      <c r="J12" s="8"/>
      <c r="K12" s="8"/>
      <c r="L12" s="8"/>
      <c r="M12" s="8"/>
      <c r="N12" s="8"/>
      <c r="O12" s="8"/>
      <c r="P12" s="8"/>
      <c r="Q12" s="8"/>
      <c r="R12" s="8"/>
      <c r="S12" s="8"/>
      <c r="T12" s="8"/>
      <c r="U12" s="8"/>
      <c r="V12" s="8"/>
      <c r="W12" s="8"/>
      <c r="X12" s="8"/>
      <c r="Y12" s="8"/>
      <c r="Z12" s="8"/>
    </row>
    <row r="13" ht="15.75" customHeight="1">
      <c r="A13" s="8"/>
      <c r="B13" s="8"/>
      <c r="C13" s="27"/>
      <c r="D13" s="27"/>
      <c r="E13" s="27"/>
      <c r="F13" s="27"/>
      <c r="G13" s="27"/>
      <c r="H13" s="27"/>
      <c r="I13" s="8"/>
      <c r="J13" s="8"/>
      <c r="K13" s="8"/>
      <c r="L13" s="8"/>
      <c r="M13" s="8"/>
      <c r="N13" s="8"/>
      <c r="O13" s="8"/>
      <c r="P13" s="8"/>
      <c r="Q13" s="8"/>
      <c r="R13" s="8"/>
      <c r="S13" s="8"/>
      <c r="T13" s="8"/>
      <c r="U13" s="8"/>
      <c r="V13" s="8"/>
      <c r="W13" s="8"/>
      <c r="X13" s="8"/>
      <c r="Y13" s="8"/>
      <c r="Z13" s="8"/>
    </row>
    <row r="14" ht="15.75" customHeight="1">
      <c r="A14" s="8"/>
      <c r="B14" s="8"/>
      <c r="C14" s="8"/>
      <c r="D14" s="8"/>
      <c r="E14" s="8"/>
      <c r="F14" s="8"/>
      <c r="G14" s="8"/>
      <c r="H14" s="8"/>
      <c r="I14" s="8"/>
      <c r="J14" s="8"/>
      <c r="K14" s="8"/>
      <c r="L14" s="8"/>
      <c r="M14" s="8"/>
      <c r="N14" s="8"/>
      <c r="O14" s="8"/>
      <c r="P14" s="8"/>
      <c r="Q14" s="8"/>
      <c r="R14" s="8"/>
      <c r="S14" s="8"/>
      <c r="T14" s="8"/>
      <c r="U14" s="8"/>
      <c r="V14" s="8"/>
      <c r="W14" s="8"/>
      <c r="X14" s="8"/>
      <c r="Y14" s="8"/>
      <c r="Z14" s="8"/>
    </row>
    <row r="15" ht="15.75" customHeight="1">
      <c r="A15" s="8"/>
      <c r="B15" s="8"/>
      <c r="C15" s="8"/>
      <c r="D15" s="8"/>
      <c r="E15" s="18" t="s">
        <v>10</v>
      </c>
      <c r="F15" s="8"/>
      <c r="G15" s="8"/>
      <c r="H15" s="19">
        <f>(H17*H20*H21+(H18+H19)*H20*H22)*H12</f>
        <v>1363276542</v>
      </c>
      <c r="I15" s="8"/>
      <c r="J15" s="8"/>
      <c r="K15" s="8"/>
      <c r="L15" s="8"/>
      <c r="M15" s="8"/>
      <c r="N15" s="8"/>
      <c r="O15" s="8"/>
      <c r="P15" s="8"/>
      <c r="Q15" s="8"/>
      <c r="R15" s="8"/>
      <c r="S15" s="8"/>
      <c r="T15" s="8"/>
      <c r="U15" s="8"/>
      <c r="V15" s="8"/>
      <c r="W15" s="8"/>
      <c r="X15" s="8"/>
      <c r="Y15" s="8"/>
      <c r="Z15" s="8"/>
    </row>
    <row r="16" ht="15.75" customHeight="1">
      <c r="A16" s="8"/>
      <c r="B16" s="8"/>
      <c r="C16" s="8"/>
      <c r="D16" s="8"/>
      <c r="E16" s="8" t="s">
        <v>27</v>
      </c>
      <c r="F16" s="8"/>
      <c r="G16" s="8" t="s">
        <v>17</v>
      </c>
      <c r="H16" s="11">
        <f>SUM(H17:H19)</f>
        <v>4459976.109</v>
      </c>
      <c r="I16" s="8"/>
      <c r="J16" s="8"/>
      <c r="K16" s="8"/>
      <c r="L16" s="8"/>
      <c r="M16" s="8"/>
      <c r="N16" s="8"/>
      <c r="O16" s="8"/>
      <c r="P16" s="8"/>
      <c r="Q16" s="8"/>
      <c r="R16" s="8"/>
      <c r="S16" s="8"/>
      <c r="T16" s="8"/>
      <c r="U16" s="8"/>
      <c r="V16" s="8"/>
      <c r="W16" s="8"/>
      <c r="X16" s="8"/>
      <c r="Y16" s="8"/>
      <c r="Z16" s="8"/>
    </row>
    <row r="17" ht="15.75" customHeight="1">
      <c r="A17" s="8"/>
      <c r="B17" s="8"/>
      <c r="C17" s="8"/>
      <c r="D17" s="8"/>
      <c r="E17" s="22" t="s">
        <v>28</v>
      </c>
      <c r="F17" s="8"/>
      <c r="G17" s="8" t="s">
        <v>17</v>
      </c>
      <c r="H17" s="11">
        <f>H9*(11%+10%+7%+6%+3%+7%)</f>
        <v>3495056.109</v>
      </c>
      <c r="I17" s="8"/>
      <c r="J17" s="8"/>
      <c r="K17" s="8"/>
      <c r="L17" s="8"/>
      <c r="M17" s="8"/>
      <c r="N17" s="8"/>
      <c r="O17" s="8"/>
      <c r="P17" s="8"/>
      <c r="Q17" s="8"/>
      <c r="R17" s="8"/>
      <c r="S17" s="8"/>
      <c r="T17" s="8"/>
      <c r="U17" s="8"/>
      <c r="V17" s="8"/>
      <c r="W17" s="8"/>
      <c r="X17" s="8"/>
      <c r="Y17" s="8"/>
      <c r="Z17" s="8"/>
    </row>
    <row r="18" ht="15.75" customHeight="1">
      <c r="A18" s="8"/>
      <c r="B18" s="8"/>
      <c r="C18" s="8"/>
      <c r="D18" s="8"/>
      <c r="E18" s="22" t="s">
        <v>30</v>
      </c>
      <c r="F18" s="8"/>
      <c r="G18" s="8" t="s">
        <v>17</v>
      </c>
      <c r="H18" s="11">
        <f>1.9*10^6*29%</f>
        <v>551000</v>
      </c>
      <c r="I18" s="8"/>
      <c r="J18" s="8"/>
      <c r="K18" s="8"/>
      <c r="L18" s="8"/>
      <c r="M18" s="8"/>
      <c r="N18" s="8"/>
      <c r="O18" s="8"/>
      <c r="P18" s="8"/>
      <c r="Q18" s="8"/>
      <c r="R18" s="8"/>
      <c r="S18" s="8"/>
      <c r="T18" s="8"/>
      <c r="U18" s="8"/>
      <c r="V18" s="8"/>
      <c r="W18" s="8"/>
      <c r="X18" s="8"/>
      <c r="Y18" s="8"/>
      <c r="Z18" s="8"/>
    </row>
    <row r="19" ht="15.75" customHeight="1">
      <c r="A19" s="8"/>
      <c r="B19" s="8"/>
      <c r="C19" s="8"/>
      <c r="D19" s="8"/>
      <c r="E19" s="22" t="s">
        <v>32</v>
      </c>
      <c r="F19" s="8"/>
      <c r="G19" s="8" t="s">
        <v>17</v>
      </c>
      <c r="H19" s="11">
        <f>(4512+6386+7276+7275+6391)*10^3*26%*5%</f>
        <v>413920</v>
      </c>
      <c r="I19" s="8"/>
      <c r="J19" s="8"/>
      <c r="K19" s="8"/>
      <c r="L19" s="8"/>
      <c r="M19" s="8"/>
      <c r="N19" s="8"/>
      <c r="O19" s="8"/>
      <c r="P19" s="8"/>
      <c r="Q19" s="8"/>
      <c r="R19" s="8"/>
      <c r="S19" s="8"/>
      <c r="T19" s="8"/>
      <c r="U19" s="8"/>
      <c r="V19" s="8"/>
      <c r="W19" s="8"/>
      <c r="X19" s="8"/>
      <c r="Y19" s="8"/>
      <c r="Z19" s="8"/>
    </row>
    <row r="20" ht="15.75" customHeight="1">
      <c r="A20" s="8"/>
      <c r="B20" s="8"/>
      <c r="C20" s="8"/>
      <c r="D20" s="8"/>
      <c r="E20" s="8" t="s">
        <v>20</v>
      </c>
      <c r="F20" s="8"/>
      <c r="G20" s="8" t="s">
        <v>21</v>
      </c>
      <c r="H20" s="21">
        <f>H10</f>
        <v>0.888</v>
      </c>
      <c r="I20" s="22" t="s">
        <v>48</v>
      </c>
      <c r="J20" s="8"/>
      <c r="K20" s="8"/>
      <c r="L20" s="8"/>
      <c r="M20" s="8"/>
      <c r="N20" s="8"/>
      <c r="O20" s="8"/>
      <c r="P20" s="8"/>
      <c r="Q20" s="8"/>
      <c r="R20" s="8"/>
      <c r="S20" s="8"/>
      <c r="T20" s="8"/>
      <c r="U20" s="8"/>
      <c r="V20" s="8"/>
      <c r="W20" s="8"/>
      <c r="X20" s="8"/>
      <c r="Y20" s="8"/>
      <c r="Z20" s="8"/>
    </row>
    <row r="21" ht="15.75" customHeight="1">
      <c r="A21" s="8"/>
      <c r="B21" s="8"/>
      <c r="C21" s="8"/>
      <c r="D21" s="8"/>
      <c r="E21" s="8" t="s">
        <v>34</v>
      </c>
      <c r="F21" s="8"/>
      <c r="G21" s="8" t="s">
        <v>9</v>
      </c>
      <c r="H21" s="23">
        <f>AVERAGE('ARPU Ref'!E1:E6)*(1+4%)^5</f>
        <v>861.7958059</v>
      </c>
      <c r="I21" s="22" t="s">
        <v>48</v>
      </c>
      <c r="J21" s="8" t="s">
        <v>50</v>
      </c>
      <c r="K21" s="8"/>
      <c r="L21" s="8"/>
      <c r="M21" s="8"/>
      <c r="N21" s="8"/>
      <c r="O21" s="8"/>
      <c r="P21" s="8"/>
      <c r="Q21" s="8"/>
      <c r="R21" s="8"/>
      <c r="S21" s="8"/>
      <c r="T21" s="8"/>
      <c r="U21" s="8"/>
      <c r="V21" s="8"/>
      <c r="W21" s="8"/>
      <c r="X21" s="8"/>
      <c r="Y21" s="8"/>
      <c r="Z21" s="8"/>
    </row>
    <row r="22" ht="15.75" customHeight="1">
      <c r="A22" s="8"/>
      <c r="B22" s="8"/>
      <c r="C22" s="8"/>
      <c r="D22" s="8"/>
      <c r="E22" s="8" t="s">
        <v>35</v>
      </c>
      <c r="F22" s="8"/>
      <c r="G22" s="8" t="s">
        <v>9</v>
      </c>
      <c r="H22" s="23">
        <f>AVERAGE('ARPU Ref'!E8:E12)*6*(1+4%)^5</f>
        <v>60.54177149</v>
      </c>
      <c r="I22" s="22" t="s">
        <v>48</v>
      </c>
      <c r="J22" s="8" t="s">
        <v>50</v>
      </c>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18" t="s">
        <v>11</v>
      </c>
      <c r="F26" s="8"/>
      <c r="G26" s="8"/>
      <c r="H26" s="24">
        <f>((H27*H28*11%*H29)+(H27*89%*H30))*H12</f>
        <v>6471157241</v>
      </c>
      <c r="I26" s="8"/>
      <c r="J26" s="8"/>
      <c r="K26" s="8"/>
      <c r="L26" s="8"/>
      <c r="M26" s="8"/>
      <c r="N26" s="8"/>
      <c r="O26" s="8"/>
      <c r="P26" s="8"/>
      <c r="Q26" s="8"/>
      <c r="R26" s="8"/>
      <c r="S26" s="8"/>
      <c r="T26" s="8"/>
      <c r="U26" s="8"/>
      <c r="V26" s="8"/>
      <c r="W26" s="8"/>
      <c r="X26" s="8"/>
      <c r="Y26" s="8"/>
      <c r="Z26" s="8"/>
    </row>
    <row r="27" ht="15.75" customHeight="1">
      <c r="A27" s="8"/>
      <c r="B27" s="8"/>
      <c r="C27" s="8"/>
      <c r="D27" s="8"/>
      <c r="E27" s="25" t="s">
        <v>32</v>
      </c>
      <c r="F27" s="8"/>
      <c r="G27" s="8" t="s">
        <v>17</v>
      </c>
      <c r="H27" s="11">
        <f>51860*10^3*70%+100000</f>
        <v>36402000</v>
      </c>
      <c r="I27" s="8"/>
      <c r="J27" s="8"/>
      <c r="K27" s="8"/>
      <c r="L27" s="8"/>
      <c r="M27" s="8"/>
      <c r="N27" s="8"/>
      <c r="O27" s="8"/>
      <c r="P27" s="8"/>
      <c r="Q27" s="8"/>
      <c r="R27" s="8"/>
      <c r="S27" s="8"/>
      <c r="T27" s="8"/>
      <c r="U27" s="8"/>
      <c r="V27" s="8"/>
      <c r="W27" s="8"/>
      <c r="X27" s="8"/>
      <c r="Y27" s="8"/>
      <c r="Z27" s="8"/>
    </row>
    <row r="28" ht="15.75" customHeight="1">
      <c r="A28" s="8"/>
      <c r="B28" s="8"/>
      <c r="C28" s="8"/>
      <c r="D28" s="8"/>
      <c r="E28" s="8" t="s">
        <v>20</v>
      </c>
      <c r="F28" s="8"/>
      <c r="G28" s="8" t="s">
        <v>21</v>
      </c>
      <c r="H28" s="21">
        <f>H20</f>
        <v>0.888</v>
      </c>
      <c r="I28" s="22" t="s">
        <v>48</v>
      </c>
      <c r="J28" s="8"/>
      <c r="K28" s="8"/>
      <c r="L28" s="8"/>
      <c r="M28" s="8"/>
      <c r="N28" s="8"/>
      <c r="O28" s="8"/>
      <c r="P28" s="8"/>
      <c r="Q28" s="8"/>
      <c r="R28" s="8"/>
      <c r="S28" s="8"/>
      <c r="T28" s="8"/>
      <c r="U28" s="8"/>
      <c r="V28" s="8"/>
      <c r="W28" s="8"/>
      <c r="X28" s="8"/>
      <c r="Y28" s="8"/>
      <c r="Z28" s="8"/>
    </row>
    <row r="29" ht="15.75" customHeight="1">
      <c r="A29" s="8"/>
      <c r="B29" s="8"/>
      <c r="C29" s="8"/>
      <c r="D29" s="8"/>
      <c r="E29" s="8" t="s">
        <v>39</v>
      </c>
      <c r="F29" s="8"/>
      <c r="G29" s="8" t="s">
        <v>9</v>
      </c>
      <c r="H29" s="23">
        <f>AVERAGE('ARPU Ref'!E14:E16)*(1+4%)^5</f>
        <v>58.39528381</v>
      </c>
      <c r="I29" s="22" t="s">
        <v>48</v>
      </c>
      <c r="J29" s="8" t="s">
        <v>50</v>
      </c>
      <c r="K29" s="8"/>
      <c r="L29" s="8"/>
      <c r="M29" s="8"/>
      <c r="N29" s="8"/>
      <c r="O29" s="8"/>
      <c r="P29" s="8"/>
      <c r="Q29" s="8"/>
      <c r="R29" s="8"/>
      <c r="S29" s="8"/>
      <c r="T29" s="8"/>
      <c r="U29" s="8"/>
      <c r="V29" s="8"/>
      <c r="W29" s="8"/>
      <c r="X29" s="8"/>
      <c r="Y29" s="8"/>
      <c r="Z29" s="8"/>
    </row>
    <row r="30" ht="15.75" customHeight="1">
      <c r="A30" s="8"/>
      <c r="B30" s="8"/>
      <c r="C30" s="8"/>
      <c r="D30" s="8"/>
      <c r="E30" s="8" t="s">
        <v>40</v>
      </c>
      <c r="F30" s="8"/>
      <c r="G30" s="8" t="s">
        <v>9</v>
      </c>
      <c r="H30" s="23">
        <f>AVERAGE('ARPU Ref'!E18:E19)*(1+4%)^5</f>
        <v>393.0724762</v>
      </c>
      <c r="I30" s="22" t="s">
        <v>48</v>
      </c>
      <c r="J30" s="8" t="s">
        <v>50</v>
      </c>
      <c r="K30" s="8"/>
      <c r="L30" s="8"/>
      <c r="M30" s="8"/>
      <c r="N30" s="8"/>
      <c r="O30" s="8"/>
      <c r="P30" s="8"/>
      <c r="Q30" s="8"/>
      <c r="R30" s="8"/>
      <c r="S30" s="8"/>
      <c r="T30" s="8"/>
      <c r="U30" s="8"/>
      <c r="V30" s="8"/>
      <c r="W30" s="8"/>
      <c r="X30" s="8"/>
      <c r="Y30" s="8"/>
      <c r="Z30" s="8"/>
    </row>
    <row r="31" ht="15.75" customHeight="1">
      <c r="A31" s="8"/>
      <c r="B31" s="8"/>
      <c r="C31" s="8"/>
      <c r="D31" s="8"/>
      <c r="E31" s="8"/>
      <c r="F31" s="8"/>
      <c r="G31" s="8"/>
      <c r="H31" s="14"/>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18" t="s">
        <v>12</v>
      </c>
      <c r="F34" s="8"/>
      <c r="G34" s="8"/>
      <c r="H34" s="19">
        <f>(H35*21/183)*H12</f>
        <v>767704918</v>
      </c>
      <c r="I34" s="8"/>
      <c r="J34" s="19"/>
      <c r="K34" s="8"/>
      <c r="L34" s="8"/>
      <c r="M34" s="8"/>
      <c r="N34" s="8"/>
      <c r="O34" s="8"/>
      <c r="P34" s="8"/>
      <c r="Q34" s="8"/>
      <c r="R34" s="8"/>
      <c r="S34" s="8"/>
      <c r="T34" s="8"/>
      <c r="U34" s="8"/>
      <c r="V34" s="8"/>
      <c r="W34" s="8"/>
      <c r="X34" s="8"/>
      <c r="Y34" s="8"/>
      <c r="Z34" s="8"/>
    </row>
    <row r="35" ht="15.75" customHeight="1">
      <c r="A35" s="8"/>
      <c r="B35" s="8"/>
      <c r="C35" s="8"/>
      <c r="D35" s="8"/>
      <c r="E35" s="8" t="s">
        <v>42</v>
      </c>
      <c r="F35" s="8"/>
      <c r="G35" s="8" t="s">
        <v>9</v>
      </c>
      <c r="H35" s="11">
        <f>13.38*10^9</f>
        <v>13380000000</v>
      </c>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1.11"/>
    <col customWidth="1" min="2" max="2" width="90.0"/>
    <col customWidth="1" min="3" max="3" width="10.78"/>
    <col customWidth="1" min="4" max="4" width="11.11"/>
    <col customWidth="1" min="5" max="6" width="10.78"/>
    <col customWidth="1" min="7" max="26" width="10.56"/>
  </cols>
  <sheetData>
    <row r="1" ht="15.75" customHeight="1">
      <c r="A1" s="1" t="s">
        <v>51</v>
      </c>
      <c r="B1" s="2"/>
      <c r="C1" s="3"/>
      <c r="D1" s="3"/>
      <c r="E1" s="3"/>
      <c r="F1" s="3"/>
      <c r="G1" s="3"/>
      <c r="H1" s="3"/>
      <c r="I1" s="3"/>
      <c r="J1" s="3"/>
      <c r="K1" s="3"/>
      <c r="L1" s="3"/>
      <c r="M1" s="3"/>
      <c r="N1" s="3"/>
      <c r="O1" s="3"/>
      <c r="P1" s="3"/>
      <c r="Q1" s="3"/>
      <c r="R1" s="3"/>
      <c r="S1" s="3"/>
      <c r="T1" s="3"/>
      <c r="U1" s="3"/>
      <c r="V1" s="3"/>
      <c r="W1" s="3"/>
      <c r="X1" s="3"/>
      <c r="Y1" s="3"/>
      <c r="Z1" s="3"/>
    </row>
    <row r="2" ht="15.75" customHeight="1">
      <c r="A2" s="31" t="s">
        <v>52</v>
      </c>
      <c r="B2" s="32" t="s">
        <v>53</v>
      </c>
      <c r="C2" s="3"/>
      <c r="D2" s="3"/>
      <c r="E2" s="3"/>
      <c r="F2" s="3"/>
      <c r="G2" s="3"/>
      <c r="H2" s="3"/>
      <c r="I2" s="3"/>
      <c r="J2" s="3"/>
      <c r="K2" s="3"/>
      <c r="L2" s="3"/>
      <c r="M2" s="3"/>
      <c r="N2" s="3"/>
      <c r="O2" s="3"/>
      <c r="P2" s="3"/>
      <c r="Q2" s="3"/>
      <c r="R2" s="3"/>
      <c r="S2" s="3"/>
      <c r="T2" s="3"/>
      <c r="U2" s="3"/>
      <c r="V2" s="3"/>
      <c r="W2" s="3"/>
      <c r="X2" s="3"/>
      <c r="Y2" s="3"/>
      <c r="Z2" s="3"/>
    </row>
    <row r="3" ht="15.75" customHeight="1">
      <c r="A3" s="31" t="s">
        <v>54</v>
      </c>
      <c r="B3" s="33" t="s">
        <v>55</v>
      </c>
      <c r="C3" s="3"/>
      <c r="D3" s="3"/>
      <c r="E3" s="3"/>
      <c r="F3" s="3"/>
      <c r="G3" s="3"/>
      <c r="H3" s="3"/>
      <c r="I3" s="3"/>
      <c r="J3" s="3"/>
      <c r="K3" s="3"/>
      <c r="L3" s="3"/>
      <c r="M3" s="3"/>
      <c r="N3" s="3"/>
      <c r="O3" s="3"/>
      <c r="P3" s="3"/>
      <c r="Q3" s="3"/>
      <c r="R3" s="3"/>
      <c r="S3" s="3"/>
      <c r="T3" s="3"/>
      <c r="U3" s="3"/>
      <c r="V3" s="3"/>
      <c r="W3" s="3"/>
      <c r="X3" s="3"/>
      <c r="Y3" s="3"/>
      <c r="Z3" s="3"/>
    </row>
    <row r="4" ht="15.75" customHeight="1">
      <c r="A4" s="31" t="s">
        <v>56</v>
      </c>
      <c r="B4" s="32" t="s">
        <v>57</v>
      </c>
      <c r="C4" s="3"/>
      <c r="D4" s="3"/>
      <c r="E4" s="3"/>
      <c r="F4" s="3"/>
      <c r="G4" s="3"/>
      <c r="H4" s="3"/>
      <c r="I4" s="3"/>
      <c r="J4" s="3"/>
      <c r="K4" s="3"/>
      <c r="L4" s="3"/>
      <c r="M4" s="3"/>
      <c r="N4" s="3"/>
      <c r="O4" s="3"/>
      <c r="P4" s="3"/>
      <c r="Q4" s="3"/>
      <c r="R4" s="3"/>
      <c r="S4" s="3"/>
      <c r="T4" s="3"/>
      <c r="U4" s="3"/>
      <c r="V4" s="3"/>
      <c r="W4" s="3"/>
      <c r="X4" s="3"/>
      <c r="Y4" s="3"/>
      <c r="Z4" s="3"/>
    </row>
    <row r="5" ht="15.75" customHeight="1">
      <c r="A5" s="31" t="s">
        <v>58</v>
      </c>
      <c r="B5" s="32"/>
      <c r="C5" s="3"/>
      <c r="D5" s="3"/>
      <c r="E5" s="3"/>
      <c r="F5" s="3"/>
      <c r="G5" s="3"/>
      <c r="H5" s="3"/>
      <c r="I5" s="3"/>
      <c r="J5" s="3"/>
      <c r="K5" s="3"/>
      <c r="L5" s="3"/>
      <c r="M5" s="3"/>
      <c r="N5" s="3"/>
      <c r="O5" s="3"/>
      <c r="P5" s="3"/>
      <c r="Q5" s="3"/>
      <c r="R5" s="3"/>
      <c r="S5" s="3"/>
      <c r="T5" s="3"/>
      <c r="U5" s="3"/>
      <c r="V5" s="3"/>
      <c r="W5" s="3"/>
      <c r="X5" s="3"/>
      <c r="Y5" s="3"/>
      <c r="Z5" s="3"/>
    </row>
    <row r="6" ht="15.75" customHeight="1">
      <c r="A6" s="4" t="s">
        <v>1</v>
      </c>
      <c r="B6" s="33" t="s">
        <v>59</v>
      </c>
      <c r="C6" s="3"/>
      <c r="D6" s="3"/>
      <c r="E6" s="3"/>
      <c r="F6" s="3"/>
      <c r="G6" s="3"/>
      <c r="H6" s="3"/>
      <c r="I6" s="3"/>
      <c r="J6" s="3"/>
      <c r="K6" s="3"/>
      <c r="L6" s="3"/>
      <c r="M6" s="3"/>
      <c r="N6" s="3"/>
      <c r="O6" s="3"/>
      <c r="P6" s="3"/>
      <c r="Q6" s="3"/>
      <c r="R6" s="3"/>
      <c r="S6" s="3"/>
      <c r="T6" s="3"/>
      <c r="U6" s="3"/>
      <c r="V6" s="3"/>
      <c r="W6" s="3"/>
      <c r="X6" s="3"/>
      <c r="Y6" s="3"/>
      <c r="Z6" s="3"/>
    </row>
    <row r="7" ht="15.75" customHeight="1">
      <c r="A7" s="7" t="s">
        <v>3</v>
      </c>
      <c r="B7" s="33" t="s">
        <v>60</v>
      </c>
      <c r="C7" s="3"/>
      <c r="D7" s="3"/>
      <c r="E7" s="3"/>
      <c r="F7" s="3"/>
      <c r="G7" s="3"/>
      <c r="H7" s="3"/>
      <c r="I7" s="3"/>
      <c r="J7" s="3"/>
      <c r="K7" s="3"/>
      <c r="L7" s="3"/>
      <c r="M7" s="3"/>
      <c r="N7" s="3"/>
      <c r="O7" s="3"/>
      <c r="P7" s="3"/>
      <c r="Q7" s="3"/>
      <c r="R7" s="3"/>
      <c r="S7" s="3"/>
      <c r="T7" s="3"/>
      <c r="U7" s="3"/>
      <c r="V7" s="3"/>
      <c r="W7" s="3"/>
      <c r="X7" s="3"/>
      <c r="Y7" s="3"/>
      <c r="Z7" s="3"/>
    </row>
    <row r="8" ht="15.75" customHeight="1">
      <c r="A8" s="34" t="s">
        <v>61</v>
      </c>
      <c r="B8" s="6" t="s">
        <v>62</v>
      </c>
      <c r="C8" s="3"/>
      <c r="D8" s="3"/>
      <c r="E8" s="3"/>
      <c r="F8" s="3"/>
      <c r="G8" s="3"/>
      <c r="H8" s="3"/>
      <c r="I8" s="3"/>
      <c r="J8" s="3"/>
      <c r="K8" s="3"/>
      <c r="L8" s="3"/>
      <c r="M8" s="3"/>
      <c r="N8" s="3"/>
      <c r="O8" s="3"/>
      <c r="P8" s="3"/>
      <c r="Q8" s="3"/>
      <c r="R8" s="3"/>
      <c r="S8" s="3"/>
      <c r="T8" s="3"/>
      <c r="U8" s="3"/>
      <c r="V8" s="3"/>
      <c r="W8" s="3"/>
      <c r="X8" s="3"/>
      <c r="Y8" s="3"/>
      <c r="Z8" s="3"/>
    </row>
    <row r="9" ht="15.75" customHeight="1">
      <c r="A9" s="3"/>
      <c r="B9" s="3"/>
      <c r="C9" s="3"/>
      <c r="D9" s="3"/>
      <c r="E9" s="3"/>
      <c r="F9" s="3"/>
      <c r="G9" s="3"/>
      <c r="H9" s="3"/>
      <c r="I9" s="3"/>
      <c r="J9" s="3"/>
      <c r="K9" s="3"/>
      <c r="L9" s="3"/>
      <c r="M9" s="3"/>
      <c r="N9" s="3"/>
      <c r="O9" s="3"/>
      <c r="P9" s="3"/>
      <c r="Q9" s="3"/>
      <c r="R9" s="3"/>
      <c r="S9" s="3"/>
      <c r="T9" s="3"/>
      <c r="U9" s="3"/>
      <c r="V9" s="3"/>
      <c r="W9" s="3"/>
      <c r="X9" s="3"/>
      <c r="Y9" s="3"/>
      <c r="Z9" s="3"/>
    </row>
    <row r="10" ht="15.7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5.7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5.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5.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5.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5.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B8"/>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10.78"/>
    <col customWidth="1" min="8" max="26" width="10.56"/>
  </cols>
  <sheetData>
    <row r="1" ht="15.75" customHeight="1">
      <c r="A1" s="8" t="s">
        <v>63</v>
      </c>
      <c r="B1" s="8"/>
      <c r="C1" s="8" t="s">
        <v>64</v>
      </c>
      <c r="D1" s="8"/>
      <c r="E1" s="11">
        <f>20*10^6/$A$2</f>
        <v>769.2307692</v>
      </c>
      <c r="F1" s="8"/>
      <c r="G1" s="8" t="s">
        <v>65</v>
      </c>
      <c r="H1" s="8"/>
      <c r="I1" s="8"/>
      <c r="J1" s="8"/>
      <c r="K1" s="8"/>
      <c r="L1" s="8"/>
      <c r="M1" s="8"/>
      <c r="N1" s="8"/>
      <c r="O1" s="8"/>
      <c r="P1" s="8"/>
      <c r="Q1" s="8"/>
      <c r="R1" s="8"/>
      <c r="S1" s="8"/>
      <c r="T1" s="8"/>
      <c r="U1" s="8"/>
      <c r="V1" s="8"/>
      <c r="W1" s="8"/>
      <c r="X1" s="8"/>
      <c r="Y1" s="8"/>
      <c r="Z1" s="8"/>
    </row>
    <row r="2" ht="15.75" customHeight="1">
      <c r="A2" s="35">
        <v>26000.0</v>
      </c>
      <c r="B2" s="8"/>
      <c r="C2" s="8" t="s">
        <v>66</v>
      </c>
      <c r="D2" s="8"/>
      <c r="E2" s="11">
        <f>15*10^6/$A$2</f>
        <v>576.9230769</v>
      </c>
      <c r="F2" s="8"/>
      <c r="G2" s="8" t="s">
        <v>65</v>
      </c>
      <c r="H2" s="8"/>
      <c r="I2" s="8"/>
      <c r="J2" s="8"/>
      <c r="K2" s="8"/>
      <c r="L2" s="8"/>
      <c r="M2" s="8"/>
      <c r="N2" s="8"/>
      <c r="O2" s="8"/>
      <c r="P2" s="8"/>
      <c r="Q2" s="8"/>
      <c r="R2" s="8"/>
      <c r="S2" s="8"/>
      <c r="T2" s="8"/>
      <c r="U2" s="8"/>
      <c r="V2" s="8"/>
      <c r="W2" s="8"/>
      <c r="X2" s="8"/>
      <c r="Y2" s="8"/>
      <c r="Z2" s="8"/>
    </row>
    <row r="3" ht="15.75" customHeight="1">
      <c r="A3" s="8"/>
      <c r="B3" s="8"/>
      <c r="C3" s="8" t="s">
        <v>67</v>
      </c>
      <c r="D3" s="8"/>
      <c r="E3" s="11">
        <f>20*10^6/$A$2</f>
        <v>769.2307692</v>
      </c>
      <c r="F3" s="8"/>
      <c r="G3" s="8" t="s">
        <v>68</v>
      </c>
      <c r="H3" s="8"/>
      <c r="I3" s="8"/>
      <c r="J3" s="8"/>
      <c r="K3" s="8"/>
      <c r="L3" s="8"/>
      <c r="M3" s="8"/>
      <c r="N3" s="8"/>
      <c r="O3" s="8"/>
      <c r="P3" s="8"/>
      <c r="Q3" s="8"/>
      <c r="R3" s="8"/>
      <c r="S3" s="8"/>
      <c r="T3" s="8"/>
      <c r="U3" s="8"/>
      <c r="V3" s="8"/>
      <c r="W3" s="8"/>
      <c r="X3" s="8"/>
      <c r="Y3" s="8"/>
      <c r="Z3" s="8"/>
    </row>
    <row r="4" ht="15.75" customHeight="1">
      <c r="A4" s="8"/>
      <c r="B4" s="8"/>
      <c r="C4" s="8" t="s">
        <v>69</v>
      </c>
      <c r="D4" s="8"/>
      <c r="E4" s="11">
        <f>20.5*10^6/$A$2</f>
        <v>788.4615385</v>
      </c>
      <c r="F4" s="8"/>
      <c r="G4" s="8" t="s">
        <v>70</v>
      </c>
      <c r="H4" s="8"/>
      <c r="I4" s="8"/>
      <c r="J4" s="8"/>
      <c r="K4" s="8"/>
      <c r="L4" s="8"/>
      <c r="M4" s="8"/>
      <c r="N4" s="8"/>
      <c r="O4" s="8"/>
      <c r="P4" s="8"/>
      <c r="Q4" s="8"/>
      <c r="R4" s="8"/>
      <c r="S4" s="8"/>
      <c r="T4" s="8"/>
      <c r="U4" s="8"/>
      <c r="V4" s="8"/>
      <c r="W4" s="8"/>
      <c r="X4" s="8"/>
      <c r="Y4" s="8"/>
      <c r="Z4" s="8"/>
    </row>
    <row r="5" ht="15.75" customHeight="1">
      <c r="A5" s="8"/>
      <c r="B5" s="8"/>
      <c r="C5" s="8" t="s">
        <v>71</v>
      </c>
      <c r="D5" s="8"/>
      <c r="E5" s="11">
        <f>25*10^6/$A$2</f>
        <v>961.5384615</v>
      </c>
      <c r="F5" s="8"/>
      <c r="G5" s="8" t="s">
        <v>72</v>
      </c>
      <c r="H5" s="8"/>
      <c r="I5" s="8"/>
      <c r="J5" s="8"/>
      <c r="K5" s="8"/>
      <c r="L5" s="8"/>
      <c r="M5" s="8"/>
      <c r="N5" s="8"/>
      <c r="O5" s="8"/>
      <c r="P5" s="8"/>
      <c r="Q5" s="8"/>
      <c r="R5" s="8"/>
      <c r="S5" s="8"/>
      <c r="T5" s="8"/>
      <c r="U5" s="8"/>
      <c r="V5" s="8"/>
      <c r="W5" s="8"/>
      <c r="X5" s="8"/>
      <c r="Y5" s="8"/>
      <c r="Z5" s="8"/>
    </row>
    <row r="6" ht="15.75" customHeight="1">
      <c r="A6" s="8"/>
      <c r="B6" s="8"/>
      <c r="C6" s="8" t="s">
        <v>73</v>
      </c>
      <c r="D6" s="8"/>
      <c r="E6" s="11">
        <f>10*10^6/$A$2</f>
        <v>384.6153846</v>
      </c>
      <c r="F6" s="8"/>
      <c r="G6" s="8" t="s">
        <v>74</v>
      </c>
      <c r="H6" s="8"/>
      <c r="I6" s="8"/>
      <c r="J6" s="8"/>
      <c r="K6" s="8"/>
      <c r="L6" s="8"/>
      <c r="M6" s="8"/>
      <c r="N6" s="8"/>
      <c r="O6" s="8"/>
      <c r="P6" s="8"/>
      <c r="Q6" s="8"/>
      <c r="R6" s="8"/>
      <c r="S6" s="8"/>
      <c r="T6" s="8"/>
      <c r="U6" s="8"/>
      <c r="V6" s="8"/>
      <c r="W6" s="8"/>
      <c r="X6" s="8"/>
      <c r="Y6" s="8"/>
      <c r="Z6" s="8"/>
    </row>
    <row r="7" ht="15.75" customHeight="1">
      <c r="A7" s="8"/>
      <c r="B7" s="8"/>
      <c r="C7" s="8"/>
      <c r="D7" s="8"/>
      <c r="E7" s="8"/>
      <c r="F7" s="8"/>
      <c r="G7" s="8"/>
      <c r="H7" s="8"/>
      <c r="I7" s="8"/>
      <c r="J7" s="8"/>
      <c r="K7" s="8"/>
      <c r="L7" s="8"/>
      <c r="M7" s="8"/>
      <c r="N7" s="8"/>
      <c r="O7" s="8"/>
      <c r="P7" s="8"/>
      <c r="Q7" s="8"/>
      <c r="R7" s="8"/>
      <c r="S7" s="8"/>
      <c r="T7" s="8"/>
      <c r="U7" s="8"/>
      <c r="V7" s="8"/>
      <c r="W7" s="8"/>
      <c r="X7" s="8"/>
      <c r="Y7" s="8"/>
      <c r="Z7" s="8"/>
    </row>
    <row r="8" ht="15.75" customHeight="1">
      <c r="A8" s="8"/>
      <c r="B8" s="8"/>
      <c r="C8" s="8" t="s">
        <v>75</v>
      </c>
      <c r="D8" s="8"/>
      <c r="E8" s="11">
        <f>429000/A2</f>
        <v>16.5</v>
      </c>
      <c r="F8" s="8"/>
      <c r="G8" s="8" t="s">
        <v>76</v>
      </c>
      <c r="H8" s="8"/>
      <c r="I8" s="8"/>
      <c r="J8" s="8"/>
      <c r="K8" s="8"/>
      <c r="L8" s="8"/>
      <c r="M8" s="8"/>
      <c r="N8" s="8"/>
      <c r="O8" s="8"/>
      <c r="P8" s="8"/>
      <c r="Q8" s="8"/>
      <c r="R8" s="8"/>
      <c r="S8" s="8"/>
      <c r="T8" s="8"/>
      <c r="U8" s="8"/>
      <c r="V8" s="8"/>
      <c r="W8" s="8"/>
      <c r="X8" s="8"/>
      <c r="Y8" s="8"/>
      <c r="Z8" s="8"/>
    </row>
    <row r="9" ht="15.75" customHeight="1">
      <c r="A9" s="8"/>
      <c r="B9" s="8"/>
      <c r="C9" s="8" t="s">
        <v>77</v>
      </c>
      <c r="D9" s="8"/>
      <c r="E9" s="11">
        <f>45000/A2</f>
        <v>1.730769231</v>
      </c>
      <c r="F9" s="8"/>
      <c r="G9" s="8" t="s">
        <v>78</v>
      </c>
      <c r="H9" s="8"/>
      <c r="I9" s="8"/>
      <c r="J9" s="8"/>
      <c r="K9" s="8"/>
      <c r="L9" s="8"/>
      <c r="M9" s="8"/>
      <c r="N9" s="8"/>
      <c r="O9" s="8"/>
      <c r="P9" s="8"/>
      <c r="Q9" s="8"/>
      <c r="R9" s="8"/>
      <c r="S9" s="8"/>
      <c r="T9" s="8"/>
      <c r="U9" s="8"/>
      <c r="V9" s="8"/>
      <c r="W9" s="8"/>
      <c r="X9" s="8"/>
      <c r="Y9" s="8"/>
      <c r="Z9" s="8"/>
    </row>
    <row r="10" ht="15.75" customHeight="1">
      <c r="A10" s="8"/>
      <c r="B10" s="8"/>
      <c r="C10" s="8" t="s">
        <v>79</v>
      </c>
      <c r="D10" s="8"/>
      <c r="E10" s="8">
        <f>6.08</f>
        <v>6.08</v>
      </c>
      <c r="F10" s="8"/>
      <c r="G10" s="8" t="s">
        <v>80</v>
      </c>
      <c r="H10" s="8"/>
      <c r="I10" s="8"/>
      <c r="J10" s="8"/>
      <c r="K10" s="8"/>
      <c r="L10" s="8"/>
      <c r="M10" s="8"/>
      <c r="N10" s="8"/>
      <c r="O10" s="8"/>
      <c r="P10" s="8"/>
      <c r="Q10" s="8"/>
      <c r="R10" s="8"/>
      <c r="S10" s="8"/>
      <c r="T10" s="8"/>
      <c r="U10" s="8"/>
      <c r="V10" s="8"/>
      <c r="W10" s="8"/>
      <c r="X10" s="8"/>
      <c r="Y10" s="8"/>
      <c r="Z10" s="8"/>
    </row>
    <row r="11" ht="15.75" customHeight="1">
      <c r="A11" s="8"/>
      <c r="B11" s="8"/>
      <c r="C11" s="8" t="s">
        <v>81</v>
      </c>
      <c r="D11" s="8"/>
      <c r="E11" s="8">
        <v>13.99</v>
      </c>
      <c r="F11" s="8"/>
      <c r="G11" s="8" t="s">
        <v>82</v>
      </c>
      <c r="H11" s="8"/>
      <c r="I11" s="8"/>
      <c r="J11" s="8"/>
      <c r="K11" s="8"/>
      <c r="L11" s="8"/>
      <c r="M11" s="8"/>
      <c r="N11" s="8"/>
      <c r="O11" s="8"/>
      <c r="P11" s="8"/>
      <c r="Q11" s="8"/>
      <c r="R11" s="8"/>
      <c r="S11" s="8"/>
      <c r="T11" s="8"/>
      <c r="U11" s="8"/>
      <c r="V11" s="8"/>
      <c r="W11" s="8"/>
      <c r="X11" s="8"/>
      <c r="Y11" s="8"/>
      <c r="Z11" s="8"/>
    </row>
    <row r="12" ht="15.75" customHeight="1">
      <c r="A12" s="8"/>
      <c r="B12" s="8"/>
      <c r="C12" s="8" t="s">
        <v>83</v>
      </c>
      <c r="D12" s="8"/>
      <c r="E12" s="8">
        <f>38/12</f>
        <v>3.166666667</v>
      </c>
      <c r="F12" s="8"/>
      <c r="G12" s="8"/>
      <c r="H12" s="8"/>
      <c r="I12" s="8"/>
      <c r="J12" s="8"/>
      <c r="K12" s="8"/>
      <c r="L12" s="8"/>
      <c r="M12" s="8"/>
      <c r="N12" s="8"/>
      <c r="O12" s="8"/>
      <c r="P12" s="8"/>
      <c r="Q12" s="8"/>
      <c r="R12" s="8"/>
      <c r="S12" s="8"/>
      <c r="T12" s="8"/>
      <c r="U12" s="8"/>
      <c r="V12" s="8"/>
      <c r="W12" s="8"/>
      <c r="X12" s="8"/>
      <c r="Y12" s="8"/>
      <c r="Z12" s="8"/>
    </row>
    <row r="13" ht="15.75" customHeight="1">
      <c r="A13" s="8"/>
      <c r="B13" s="8"/>
      <c r="C13" s="8"/>
      <c r="D13" s="8"/>
      <c r="E13" s="8"/>
      <c r="F13" s="8"/>
      <c r="G13" s="8"/>
      <c r="H13" s="8"/>
      <c r="I13" s="8"/>
      <c r="J13" s="8"/>
      <c r="K13" s="8"/>
      <c r="L13" s="8"/>
      <c r="M13" s="8"/>
      <c r="N13" s="8"/>
      <c r="O13" s="8"/>
      <c r="P13" s="8"/>
      <c r="Q13" s="8"/>
      <c r="R13" s="8"/>
      <c r="S13" s="8"/>
      <c r="T13" s="8"/>
      <c r="U13" s="8"/>
      <c r="V13" s="8"/>
      <c r="W13" s="8"/>
      <c r="X13" s="8"/>
      <c r="Y13" s="8"/>
      <c r="Z13" s="8"/>
    </row>
    <row r="14" ht="15.75" customHeight="1">
      <c r="A14" s="8"/>
      <c r="B14" s="8"/>
      <c r="C14" s="8" t="s">
        <v>84</v>
      </c>
      <c r="D14" s="8"/>
      <c r="E14" s="8">
        <v>79.0</v>
      </c>
      <c r="F14" s="8"/>
      <c r="G14" s="8"/>
      <c r="H14" s="8"/>
      <c r="I14" s="8"/>
      <c r="J14" s="8"/>
      <c r="K14" s="8"/>
      <c r="L14" s="8"/>
      <c r="M14" s="8"/>
      <c r="N14" s="8"/>
      <c r="O14" s="8"/>
      <c r="P14" s="8"/>
      <c r="Q14" s="8"/>
      <c r="R14" s="8"/>
      <c r="S14" s="8"/>
      <c r="T14" s="8"/>
      <c r="U14" s="8"/>
      <c r="V14" s="8"/>
      <c r="W14" s="8"/>
      <c r="X14" s="8"/>
      <c r="Y14" s="8"/>
      <c r="Z14" s="8"/>
    </row>
    <row r="15" ht="15.75" customHeight="1">
      <c r="A15" s="8"/>
      <c r="B15" s="8"/>
      <c r="C15" s="8" t="s">
        <v>85</v>
      </c>
      <c r="D15" s="8"/>
      <c r="E15" s="8">
        <v>35.0</v>
      </c>
      <c r="F15" s="8"/>
      <c r="G15" s="8"/>
      <c r="H15" s="8"/>
      <c r="I15" s="8"/>
      <c r="J15" s="8"/>
      <c r="K15" s="8"/>
      <c r="L15" s="8"/>
      <c r="M15" s="8"/>
      <c r="N15" s="8"/>
      <c r="O15" s="8"/>
      <c r="P15" s="8"/>
      <c r="Q15" s="8"/>
      <c r="R15" s="8"/>
      <c r="S15" s="8"/>
      <c r="T15" s="8"/>
      <c r="U15" s="8"/>
      <c r="V15" s="8"/>
      <c r="W15" s="8"/>
      <c r="X15" s="8"/>
      <c r="Y15" s="8"/>
      <c r="Z15" s="8"/>
    </row>
    <row r="16" ht="15.75" customHeight="1">
      <c r="A16" s="8"/>
      <c r="B16" s="8"/>
      <c r="C16" s="8" t="s">
        <v>86</v>
      </c>
      <c r="D16" s="8"/>
      <c r="E16" s="8">
        <v>29.99</v>
      </c>
      <c r="F16" s="8"/>
      <c r="G16" s="8"/>
      <c r="H16" s="8"/>
      <c r="I16" s="8"/>
      <c r="J16" s="8"/>
      <c r="K16" s="8"/>
      <c r="L16" s="8"/>
      <c r="M16" s="8"/>
      <c r="N16" s="8"/>
      <c r="O16" s="8"/>
      <c r="P16" s="8"/>
      <c r="Q16" s="8"/>
      <c r="R16" s="8"/>
      <c r="S16" s="8"/>
      <c r="T16" s="8"/>
      <c r="U16" s="8"/>
      <c r="V16" s="8"/>
      <c r="W16" s="8"/>
      <c r="X16" s="8"/>
      <c r="Y16" s="8"/>
      <c r="Z16" s="8"/>
    </row>
    <row r="17" ht="15.7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8"/>
      <c r="C18" s="8" t="s">
        <v>87</v>
      </c>
      <c r="D18" s="8"/>
      <c r="E18" s="11">
        <f>9*10^6/A2</f>
        <v>346.1538462</v>
      </c>
      <c r="F18" s="8"/>
      <c r="G18" s="8" t="s">
        <v>88</v>
      </c>
      <c r="H18" s="8"/>
      <c r="I18" s="8"/>
      <c r="J18" s="8"/>
      <c r="K18" s="8"/>
      <c r="L18" s="8"/>
      <c r="M18" s="8"/>
      <c r="N18" s="8"/>
      <c r="O18" s="8"/>
      <c r="P18" s="8"/>
      <c r="Q18" s="8"/>
      <c r="R18" s="8"/>
      <c r="S18" s="8"/>
      <c r="T18" s="8"/>
      <c r="U18" s="8"/>
      <c r="V18" s="8"/>
      <c r="W18" s="8"/>
      <c r="X18" s="8"/>
      <c r="Y18" s="8"/>
      <c r="Z18" s="8"/>
    </row>
    <row r="19" ht="15.75" customHeight="1">
      <c r="A19" s="8"/>
      <c r="B19" s="8"/>
      <c r="C19" s="8" t="s">
        <v>89</v>
      </c>
      <c r="D19" s="8"/>
      <c r="E19" s="8">
        <v>300.0</v>
      </c>
      <c r="F19" s="8"/>
      <c r="G19" s="20" t="s">
        <v>62</v>
      </c>
      <c r="H19" s="8"/>
      <c r="I19" s="8"/>
      <c r="J19" s="8"/>
      <c r="K19" s="8"/>
      <c r="L19" s="8"/>
      <c r="M19" s="8"/>
      <c r="N19" s="8"/>
      <c r="O19" s="8"/>
      <c r="P19" s="8"/>
      <c r="Q19" s="8"/>
      <c r="R19" s="8"/>
      <c r="S19" s="8"/>
      <c r="T19" s="8"/>
      <c r="U19" s="8"/>
      <c r="V19" s="8"/>
      <c r="W19" s="8"/>
      <c r="X19" s="8"/>
      <c r="Y19" s="8"/>
      <c r="Z19" s="8"/>
    </row>
    <row r="20" ht="15.7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hyperlinks>
    <hyperlink r:id="rId1" ref="G19"/>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11"/>
    <col customWidth="1" min="2" max="2" width="11.44"/>
    <col customWidth="1" min="3" max="10" width="10.78"/>
    <col customWidth="1" min="11" max="26" width="10.56"/>
  </cols>
  <sheetData>
    <row r="1" ht="15.75" customHeight="1">
      <c r="A1" s="36" t="s">
        <v>90</v>
      </c>
      <c r="B1" s="36" t="s">
        <v>91</v>
      </c>
      <c r="C1" s="37"/>
      <c r="D1" s="37"/>
      <c r="E1" s="37"/>
      <c r="F1" s="37"/>
      <c r="G1" s="37"/>
      <c r="H1" s="37"/>
      <c r="I1" s="37"/>
      <c r="J1" s="37"/>
      <c r="K1" s="8"/>
      <c r="L1" s="8"/>
      <c r="M1" s="8"/>
      <c r="N1" s="8"/>
      <c r="O1" s="8"/>
      <c r="P1" s="8"/>
      <c r="Q1" s="8"/>
      <c r="R1" s="8"/>
      <c r="S1" s="8"/>
      <c r="T1" s="8"/>
      <c r="U1" s="8"/>
      <c r="V1" s="8"/>
      <c r="W1" s="8"/>
      <c r="X1" s="8"/>
      <c r="Y1" s="8"/>
      <c r="Z1" s="8"/>
    </row>
    <row r="2" ht="15.75" customHeight="1">
      <c r="A2" s="8" t="str">
        <f t="shared" ref="A2:A12" si="1">AGGREGATE(3,3,$B$2:B2)</f>
        <v>#NAME?</v>
      </c>
      <c r="B2" s="20" t="s">
        <v>18</v>
      </c>
      <c r="C2" s="8"/>
      <c r="D2" s="8"/>
      <c r="E2" s="8"/>
      <c r="F2" s="8"/>
      <c r="G2" s="8"/>
      <c r="H2" s="8"/>
      <c r="I2" s="8"/>
      <c r="J2" s="8"/>
      <c r="K2" s="8"/>
      <c r="L2" s="8"/>
      <c r="M2" s="8"/>
      <c r="N2" s="8"/>
      <c r="O2" s="8"/>
      <c r="P2" s="8"/>
      <c r="Q2" s="8"/>
      <c r="R2" s="8"/>
      <c r="S2" s="8"/>
      <c r="T2" s="8"/>
      <c r="U2" s="8"/>
      <c r="V2" s="8"/>
      <c r="W2" s="8"/>
      <c r="X2" s="8"/>
      <c r="Y2" s="8"/>
      <c r="Z2" s="8"/>
    </row>
    <row r="3" ht="15.75" customHeight="1">
      <c r="A3" s="8" t="str">
        <f t="shared" si="1"/>
        <v>#NAME?</v>
      </c>
      <c r="B3" s="8" t="s">
        <v>22</v>
      </c>
      <c r="C3" s="8"/>
      <c r="D3" s="8"/>
      <c r="E3" s="8"/>
      <c r="F3" s="8"/>
      <c r="G3" s="8"/>
      <c r="H3" s="8"/>
      <c r="I3" s="8"/>
      <c r="J3" s="8"/>
      <c r="K3" s="8"/>
      <c r="L3" s="8"/>
      <c r="M3" s="8"/>
      <c r="N3" s="8"/>
      <c r="O3" s="8"/>
      <c r="P3" s="8"/>
      <c r="Q3" s="8"/>
      <c r="R3" s="8"/>
      <c r="S3" s="8"/>
      <c r="T3" s="8"/>
      <c r="U3" s="8"/>
      <c r="V3" s="8"/>
      <c r="W3" s="8"/>
      <c r="X3" s="8"/>
      <c r="Y3" s="8"/>
      <c r="Z3" s="8"/>
    </row>
    <row r="4" ht="15.75" customHeight="1">
      <c r="A4" s="8" t="str">
        <f t="shared" si="1"/>
        <v>#NAME?</v>
      </c>
      <c r="B4" s="8" t="s">
        <v>24</v>
      </c>
      <c r="C4" s="8"/>
      <c r="D4" s="8"/>
      <c r="E4" s="8"/>
      <c r="F4" s="8"/>
      <c r="G4" s="8"/>
      <c r="H4" s="8"/>
      <c r="I4" s="8"/>
      <c r="J4" s="8"/>
      <c r="K4" s="8"/>
      <c r="L4" s="8"/>
      <c r="M4" s="8"/>
      <c r="N4" s="8"/>
      <c r="O4" s="8"/>
      <c r="P4" s="8"/>
      <c r="Q4" s="8"/>
      <c r="R4" s="8"/>
      <c r="S4" s="8"/>
      <c r="T4" s="8"/>
      <c r="U4" s="8"/>
      <c r="V4" s="8"/>
      <c r="W4" s="8"/>
      <c r="X4" s="8"/>
      <c r="Y4" s="8"/>
      <c r="Z4" s="8"/>
    </row>
    <row r="5" ht="15.75" customHeight="1">
      <c r="A5" s="8" t="str">
        <f t="shared" si="1"/>
        <v>#NAME?</v>
      </c>
      <c r="B5" s="8" t="s">
        <v>26</v>
      </c>
      <c r="C5" s="8"/>
      <c r="D5" s="8"/>
      <c r="E5" s="8"/>
      <c r="F5" s="8"/>
      <c r="G5" s="8"/>
      <c r="H5" s="8"/>
      <c r="I5" s="8"/>
      <c r="J5" s="8"/>
      <c r="K5" s="8"/>
      <c r="L5" s="8"/>
      <c r="M5" s="8"/>
      <c r="N5" s="8"/>
      <c r="O5" s="8"/>
      <c r="P5" s="8"/>
      <c r="Q5" s="8"/>
      <c r="R5" s="8"/>
      <c r="S5" s="8"/>
      <c r="T5" s="8"/>
      <c r="U5" s="8"/>
      <c r="V5" s="8"/>
      <c r="W5" s="8"/>
      <c r="X5" s="8"/>
      <c r="Y5" s="8"/>
      <c r="Z5" s="8"/>
    </row>
    <row r="6" ht="15.75" customHeight="1">
      <c r="A6" s="8" t="str">
        <f t="shared" si="1"/>
        <v>#NAME?</v>
      </c>
      <c r="B6" s="8" t="s">
        <v>29</v>
      </c>
      <c r="C6" s="8"/>
      <c r="D6" s="8"/>
      <c r="E6" s="8"/>
      <c r="F6" s="8"/>
      <c r="G6" s="8"/>
      <c r="H6" s="8"/>
      <c r="I6" s="8"/>
      <c r="J6" s="8"/>
      <c r="K6" s="8"/>
      <c r="L6" s="8"/>
      <c r="M6" s="8"/>
      <c r="N6" s="8"/>
      <c r="O6" s="8"/>
      <c r="P6" s="8"/>
      <c r="Q6" s="8"/>
      <c r="R6" s="8"/>
      <c r="S6" s="8"/>
      <c r="T6" s="8"/>
      <c r="U6" s="8"/>
      <c r="V6" s="8"/>
      <c r="W6" s="8"/>
      <c r="X6" s="8"/>
      <c r="Y6" s="8"/>
      <c r="Z6" s="8"/>
    </row>
    <row r="7" ht="15.75" customHeight="1">
      <c r="A7" s="8" t="str">
        <f t="shared" si="1"/>
        <v>#NAME?</v>
      </c>
      <c r="B7" s="8" t="s">
        <v>31</v>
      </c>
      <c r="C7" s="8"/>
      <c r="D7" s="8"/>
      <c r="E7" s="8"/>
      <c r="F7" s="8"/>
      <c r="G7" s="8"/>
      <c r="H7" s="8"/>
      <c r="I7" s="8"/>
      <c r="J7" s="8"/>
      <c r="K7" s="8"/>
      <c r="L7" s="8"/>
      <c r="M7" s="8"/>
      <c r="N7" s="8"/>
      <c r="O7" s="8"/>
      <c r="P7" s="8"/>
      <c r="Q7" s="8"/>
      <c r="R7" s="8"/>
      <c r="S7" s="8"/>
      <c r="T7" s="8"/>
      <c r="U7" s="8"/>
      <c r="V7" s="8"/>
      <c r="W7" s="8"/>
      <c r="X7" s="8"/>
      <c r="Y7" s="8"/>
      <c r="Z7" s="8"/>
    </row>
    <row r="8" ht="15.75" customHeight="1">
      <c r="A8" s="8" t="str">
        <f t="shared" si="1"/>
        <v>#NAME?</v>
      </c>
      <c r="B8" s="8" t="s">
        <v>33</v>
      </c>
      <c r="C8" s="8"/>
      <c r="D8" s="8"/>
      <c r="E8" s="8"/>
      <c r="F8" s="8"/>
      <c r="G8" s="8"/>
      <c r="H8" s="8"/>
      <c r="I8" s="8"/>
      <c r="J8" s="8"/>
      <c r="K8" s="8"/>
      <c r="L8" s="8"/>
      <c r="M8" s="8"/>
      <c r="N8" s="8"/>
      <c r="O8" s="8"/>
      <c r="P8" s="8"/>
      <c r="Q8" s="8"/>
      <c r="R8" s="8"/>
      <c r="S8" s="8"/>
      <c r="T8" s="8"/>
      <c r="U8" s="8"/>
      <c r="V8" s="8"/>
      <c r="W8" s="8"/>
      <c r="X8" s="8"/>
      <c r="Y8" s="8"/>
      <c r="Z8" s="8"/>
    </row>
    <row r="9" ht="15.75" customHeight="1">
      <c r="A9" s="8" t="str">
        <f t="shared" si="1"/>
        <v>#NAME?</v>
      </c>
      <c r="B9" s="8" t="s">
        <v>22</v>
      </c>
      <c r="C9" s="8"/>
      <c r="D9" s="8"/>
      <c r="E9" s="8"/>
      <c r="F9" s="8"/>
      <c r="G9" s="8"/>
      <c r="H9" s="8"/>
      <c r="I9" s="8"/>
      <c r="J9" s="8"/>
      <c r="K9" s="8"/>
      <c r="L9" s="8"/>
      <c r="M9" s="8"/>
      <c r="N9" s="8"/>
      <c r="O9" s="8"/>
      <c r="P9" s="8"/>
      <c r="Q9" s="8"/>
      <c r="R9" s="8"/>
      <c r="S9" s="8"/>
      <c r="T9" s="8"/>
      <c r="U9" s="8"/>
      <c r="V9" s="8"/>
      <c r="W9" s="8"/>
      <c r="X9" s="8"/>
      <c r="Y9" s="8"/>
      <c r="Z9" s="8"/>
    </row>
    <row r="10" ht="15.75" customHeight="1">
      <c r="A10" s="8" t="str">
        <f t="shared" si="1"/>
        <v>#NAME?</v>
      </c>
      <c r="B10" s="8" t="s">
        <v>38</v>
      </c>
      <c r="C10" s="8"/>
      <c r="D10" s="8"/>
      <c r="E10" s="8"/>
      <c r="F10" s="8"/>
      <c r="G10" s="8"/>
      <c r="H10" s="8"/>
      <c r="I10" s="8"/>
      <c r="J10" s="8"/>
      <c r="K10" s="8"/>
      <c r="L10" s="8"/>
      <c r="M10" s="8"/>
      <c r="N10" s="8"/>
      <c r="O10" s="8"/>
      <c r="P10" s="8"/>
      <c r="Q10" s="8"/>
      <c r="R10" s="8"/>
      <c r="S10" s="8"/>
      <c r="T10" s="8"/>
      <c r="U10" s="8"/>
      <c r="V10" s="8"/>
      <c r="W10" s="8"/>
      <c r="X10" s="8"/>
      <c r="Y10" s="8"/>
      <c r="Z10" s="8"/>
    </row>
    <row r="11" ht="15.75" customHeight="1">
      <c r="A11" s="8" t="str">
        <f t="shared" si="1"/>
        <v>#NAME?</v>
      </c>
      <c r="B11" s="20" t="s">
        <v>92</v>
      </c>
      <c r="C11" s="8"/>
      <c r="D11" s="8"/>
      <c r="E11" s="8"/>
      <c r="F11" s="8"/>
      <c r="G11" s="8"/>
      <c r="H11" s="8"/>
      <c r="I11" s="8"/>
      <c r="J11" s="8"/>
      <c r="K11" s="8"/>
      <c r="L11" s="8"/>
      <c r="M11" s="8"/>
      <c r="N11" s="8"/>
      <c r="O11" s="8"/>
      <c r="P11" s="8"/>
      <c r="Q11" s="8"/>
      <c r="R11" s="8"/>
      <c r="S11" s="8"/>
      <c r="T11" s="8"/>
      <c r="U11" s="8"/>
      <c r="V11" s="8"/>
      <c r="W11" s="8"/>
      <c r="X11" s="8"/>
      <c r="Y11" s="8"/>
      <c r="Z11" s="8"/>
    </row>
    <row r="12" ht="15.75" customHeight="1">
      <c r="A12" s="8" t="str">
        <f t="shared" si="1"/>
        <v>#NAME?</v>
      </c>
      <c r="B12" s="20" t="s">
        <v>93</v>
      </c>
      <c r="C12" s="8"/>
      <c r="D12" s="8"/>
      <c r="E12" s="8"/>
      <c r="F12" s="8"/>
      <c r="G12" s="8"/>
      <c r="H12" s="8"/>
      <c r="I12" s="8"/>
      <c r="J12" s="8"/>
      <c r="K12" s="8"/>
      <c r="L12" s="8"/>
      <c r="M12" s="8"/>
      <c r="N12" s="8"/>
      <c r="O12" s="8"/>
      <c r="P12" s="8"/>
      <c r="Q12" s="8"/>
      <c r="R12" s="8"/>
      <c r="S12" s="8"/>
      <c r="T12" s="8"/>
      <c r="U12" s="8"/>
      <c r="V12" s="8"/>
      <c r="W12" s="8"/>
      <c r="X12" s="8"/>
      <c r="Y12" s="8"/>
      <c r="Z12" s="8"/>
    </row>
    <row r="13" ht="15.75" customHeight="1">
      <c r="A13" s="8"/>
      <c r="B13" s="8"/>
      <c r="C13" s="14"/>
      <c r="D13" s="8"/>
      <c r="E13" s="8"/>
      <c r="F13" s="8"/>
      <c r="G13" s="8"/>
      <c r="H13" s="8"/>
      <c r="I13" s="8"/>
      <c r="J13" s="8"/>
      <c r="K13" s="8"/>
      <c r="L13" s="8"/>
      <c r="M13" s="8"/>
      <c r="N13" s="8"/>
      <c r="O13" s="8"/>
      <c r="P13" s="8"/>
      <c r="Q13" s="8"/>
      <c r="R13" s="8"/>
      <c r="S13" s="8"/>
      <c r="T13" s="8"/>
      <c r="U13" s="8"/>
      <c r="V13" s="8"/>
      <c r="W13" s="8"/>
      <c r="X13" s="8"/>
      <c r="Y13" s="8"/>
      <c r="Z13" s="8"/>
    </row>
    <row r="14" ht="15.75" customHeight="1">
      <c r="A14" s="8"/>
      <c r="B14" s="8"/>
      <c r="C14" s="14"/>
      <c r="D14" s="8"/>
      <c r="E14" s="8"/>
      <c r="F14" s="8"/>
      <c r="G14" s="8"/>
      <c r="H14" s="8"/>
      <c r="I14" s="8"/>
      <c r="J14" s="8"/>
      <c r="K14" s="8"/>
      <c r="L14" s="8"/>
      <c r="M14" s="8"/>
      <c r="N14" s="8"/>
      <c r="O14" s="8"/>
      <c r="P14" s="8"/>
      <c r="Q14" s="8"/>
      <c r="R14" s="8"/>
      <c r="S14" s="8"/>
      <c r="T14" s="8"/>
      <c r="U14" s="8"/>
      <c r="V14" s="8"/>
      <c r="W14" s="8"/>
      <c r="X14" s="8"/>
      <c r="Y14" s="8"/>
      <c r="Z14" s="8"/>
    </row>
    <row r="15" ht="15.75" customHeight="1">
      <c r="A15" s="8"/>
      <c r="B15" s="8"/>
      <c r="C15" s="14"/>
      <c r="D15" s="8"/>
      <c r="E15" s="8"/>
      <c r="F15" s="8"/>
      <c r="G15" s="8"/>
      <c r="H15" s="8"/>
      <c r="I15" s="8"/>
      <c r="J15" s="8"/>
      <c r="K15" s="8"/>
      <c r="L15" s="8"/>
      <c r="M15" s="8"/>
      <c r="N15" s="8"/>
      <c r="O15" s="8"/>
      <c r="P15" s="8"/>
      <c r="Q15" s="8"/>
      <c r="R15" s="8"/>
      <c r="S15" s="8"/>
      <c r="T15" s="8"/>
      <c r="U15" s="8"/>
      <c r="V15" s="8"/>
      <c r="W15" s="8"/>
      <c r="X15" s="8"/>
      <c r="Y15" s="8"/>
      <c r="Z15" s="8"/>
    </row>
    <row r="16" ht="15.7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11"/>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hyperlinks>
    <hyperlink r:id="rId1" ref="B2"/>
    <hyperlink r:id="rId2" ref="B11"/>
  </hyperlinks>
  <printOptions/>
  <pageMargins bottom="0.75" footer="0.0" header="0.0" left="0.7" right="0.7" top="0.75"/>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2025-10-10T03:59:43Z</dcterms:created>
  <dc:creator>Nguyen, Hong Ngoc (Vietnam)</dc:creator>
</cp:coreProperties>
</file>